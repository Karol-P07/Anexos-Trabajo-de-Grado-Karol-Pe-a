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jmanu\AppData\Local\Temp\claude\C--Users-jmanu-OneDrive-Desktop-TESIS-Karol\647e9b0c-6e56-4586-909f-43d01ae7fdc5\scratchpad\"/>
    </mc:Choice>
  </mc:AlternateContent>
  <xr:revisionPtr revIDLastSave="0" documentId="13_ncr:1_{13E06786-177F-4A64-8776-13202F4C19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ro_QC_CT" sheetId="1" r:id="rId1"/>
    <sheet name="Resumen_QC" sheetId="2" r:id="rId2"/>
    <sheet name="Referencia_Toleranci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2" i="1" l="1"/>
  <c r="F52" i="1"/>
  <c r="D52" i="1"/>
  <c r="C52" i="1"/>
  <c r="K51" i="1"/>
  <c r="F51" i="1"/>
  <c r="D51" i="1"/>
  <c r="C51" i="1"/>
  <c r="K50" i="1"/>
  <c r="F50" i="1"/>
  <c r="D50" i="1"/>
  <c r="C50" i="1"/>
  <c r="F49" i="1"/>
  <c r="D49" i="1"/>
  <c r="C49" i="1"/>
  <c r="K48" i="1"/>
  <c r="F48" i="1"/>
  <c r="D48" i="1"/>
  <c r="C48" i="1"/>
  <c r="K47" i="1"/>
  <c r="F47" i="1"/>
  <c r="D47" i="1"/>
  <c r="C47" i="1"/>
  <c r="G69" i="1"/>
  <c r="D69" i="1"/>
  <c r="F68" i="1"/>
  <c r="F67" i="1"/>
  <c r="F66" i="1"/>
  <c r="C8" i="2"/>
  <c r="B5" i="2"/>
  <c r="F69" i="1"/>
  <c r="F57" i="1"/>
  <c r="D8" i="2" s="1"/>
  <c r="E57" i="1"/>
  <c r="D57" i="1"/>
  <c r="B8" i="2" s="1"/>
  <c r="I41" i="1"/>
  <c r="I34" i="1"/>
  <c r="I27" i="1"/>
  <c r="H13" i="1"/>
  <c r="D5" i="2" s="1"/>
  <c r="G13" i="1"/>
  <c r="D13" i="1"/>
  <c r="C13" i="1"/>
  <c r="B13" i="1"/>
  <c r="D12" i="1"/>
  <c r="D11" i="1"/>
  <c r="D10" i="1"/>
  <c r="D9" i="1"/>
  <c r="D8" i="1"/>
  <c r="D9" i="2"/>
  <c r="F73" i="1"/>
  <c r="D73" i="1"/>
  <c r="B12" i="2" s="1"/>
  <c r="D68" i="1"/>
  <c r="B68" i="1"/>
  <c r="E68" i="1" s="1"/>
  <c r="D67" i="1"/>
  <c r="B67" i="1"/>
  <c r="E67" i="1" s="1"/>
  <c r="D66" i="1"/>
  <c r="B66" i="1"/>
  <c r="E66" i="1" s="1"/>
  <c r="F58" i="1"/>
  <c r="H51" i="1"/>
  <c r="J45" i="1"/>
  <c r="K45" i="1" s="1"/>
  <c r="F45" i="1"/>
  <c r="D45" i="1"/>
  <c r="J44" i="1"/>
  <c r="K44" i="1" s="1"/>
  <c r="F44" i="1"/>
  <c r="D44" i="1"/>
  <c r="J43" i="1"/>
  <c r="K43" i="1" s="1"/>
  <c r="H43" i="1"/>
  <c r="F43" i="1"/>
  <c r="D43" i="1"/>
  <c r="J42" i="1"/>
  <c r="H42" i="1"/>
  <c r="F42" i="1"/>
  <c r="D42" i="1"/>
  <c r="J41" i="1"/>
  <c r="K41" i="1" s="1"/>
  <c r="F41" i="1"/>
  <c r="D41" i="1"/>
  <c r="J40" i="1"/>
  <c r="H40" i="1"/>
  <c r="F40" i="1"/>
  <c r="D40" i="1"/>
  <c r="J38" i="1"/>
  <c r="K38" i="1" s="1"/>
  <c r="F38" i="1"/>
  <c r="D38" i="1"/>
  <c r="J37" i="1"/>
  <c r="K37" i="1" s="1"/>
  <c r="F37" i="1"/>
  <c r="D37" i="1"/>
  <c r="J36" i="1"/>
  <c r="K36" i="1" s="1"/>
  <c r="H36" i="1"/>
  <c r="F36" i="1"/>
  <c r="D36" i="1"/>
  <c r="J35" i="1"/>
  <c r="H35" i="1"/>
  <c r="F35" i="1"/>
  <c r="D35" i="1"/>
  <c r="J34" i="1"/>
  <c r="K34" i="1" s="1"/>
  <c r="F34" i="1"/>
  <c r="D34" i="1"/>
  <c r="J33" i="1"/>
  <c r="H33" i="1"/>
  <c r="F33" i="1"/>
  <c r="D33" i="1"/>
  <c r="J31" i="1"/>
  <c r="K31" i="1" s="1"/>
  <c r="F31" i="1"/>
  <c r="D31" i="1"/>
  <c r="J30" i="1"/>
  <c r="K30" i="1" s="1"/>
  <c r="F30" i="1"/>
  <c r="D30" i="1"/>
  <c r="J29" i="1"/>
  <c r="K29" i="1" s="1"/>
  <c r="H29" i="1"/>
  <c r="F29" i="1"/>
  <c r="D29" i="1"/>
  <c r="J28" i="1"/>
  <c r="H28" i="1"/>
  <c r="F28" i="1"/>
  <c r="D28" i="1"/>
  <c r="J27" i="1"/>
  <c r="K27" i="1" s="1"/>
  <c r="F27" i="1"/>
  <c r="D27" i="1"/>
  <c r="J26" i="1"/>
  <c r="H26" i="1"/>
  <c r="F26" i="1"/>
  <c r="D26" i="1"/>
  <c r="C21" i="1"/>
  <c r="D21" i="1" s="1"/>
  <c r="C20" i="1"/>
  <c r="D20" i="1" s="1"/>
  <c r="C19" i="1"/>
  <c r="D19" i="1" s="1"/>
  <c r="G18" i="1"/>
  <c r="D6" i="2" s="1"/>
  <c r="C18" i="1"/>
  <c r="D18" i="1" s="1"/>
  <c r="F18" i="1" s="1"/>
  <c r="B6" i="2" s="1"/>
  <c r="C17" i="1"/>
  <c r="G12" i="1"/>
  <c r="G11" i="1"/>
  <c r="G10" i="1"/>
  <c r="G9" i="1"/>
  <c r="G8" i="1"/>
  <c r="I48" i="1" l="1"/>
  <c r="D12" i="2"/>
  <c r="I73" i="1"/>
  <c r="B11" i="2"/>
  <c r="D10" i="2"/>
  <c r="B10" i="2"/>
  <c r="H50" i="1"/>
  <c r="H49" i="1"/>
  <c r="B7" i="2"/>
  <c r="H47" i="1"/>
  <c r="H44" i="1"/>
  <c r="K40" i="1"/>
  <c r="H37" i="1"/>
  <c r="K33" i="1"/>
  <c r="H30" i="1"/>
  <c r="K26" i="1"/>
  <c r="B4" i="2"/>
  <c r="D4" i="2"/>
  <c r="D7" i="2" l="1"/>
  <c r="B15" i="2" s="1"/>
</calcChain>
</file>

<file path=xl/sharedStrings.xml><?xml version="1.0" encoding="utf-8"?>
<sst xmlns="http://schemas.openxmlformats.org/spreadsheetml/2006/main" count="290" uniqueCount="180">
  <si>
    <t>CONTROL DE CALIDAD TOMOGRAFÍA COMPUTARIZADA - MEDICIONES MANUALES</t>
  </si>
  <si>
    <t>Trabajo de Grado - Karol Andrea Peña Arango</t>
  </si>
  <si>
    <t>Fecha de Evaluación:</t>
  </si>
  <si>
    <t>Institución / Sede:</t>
  </si>
  <si>
    <t>1. NÚMERO CT DEL AGUA Y RUIDO (Sección de Uniformidad)</t>
  </si>
  <si>
    <t>Medición / Corte</t>
  </si>
  <si>
    <t>Media HU Medida</t>
  </si>
  <si>
    <t>Criterio Media</t>
  </si>
  <si>
    <t>Estado Media HU</t>
  </si>
  <si>
    <t>Estado Ruido</t>
  </si>
  <si>
    <t>Observaciones</t>
  </si>
  <si>
    <t>Corte 1</t>
  </si>
  <si>
    <t>0 ± 5 HU</t>
  </si>
  <si>
    <t>Corte 2</t>
  </si>
  <si>
    <t>Corte 3</t>
  </si>
  <si>
    <t>Corte 4</t>
  </si>
  <si>
    <t>Corte 5</t>
  </si>
  <si>
    <t>2. UNIFORMIDAD ESPACIAL (Misma imagen / corte que Sección 1)</t>
  </si>
  <si>
    <t>Posición ROI</t>
  </si>
  <si>
    <t>ROI Centro (HU)</t>
  </si>
  <si>
    <t>Diferencia |HU_i - HU_centro|</t>
  </si>
  <si>
    <t>Tolerancia Máxima</t>
  </si>
  <si>
    <t>Métrica Global</t>
  </si>
  <si>
    <t>Estado Uniformidad</t>
  </si>
  <si>
    <t>-</t>
  </si>
  <si>
    <t>Centro</t>
  </si>
  <si>
    <t>≤ 10 HU</t>
  </si>
  <si>
    <t>ΔCT máx:</t>
  </si>
  <si>
    <t>ESTADO GLOBAL:</t>
  </si>
  <si>
    <t>Periférico Superior</t>
  </si>
  <si>
    <t xml:space="preserve">Periférico Derecho </t>
  </si>
  <si>
    <t xml:space="preserve">Periférico Inferior </t>
  </si>
  <si>
    <t>Periférico Izquierdo</t>
  </si>
  <si>
    <t>3. LINEALIDAD DEL NÚMERO CT (Varillas de Calibración)</t>
  </si>
  <si>
    <t>Material</t>
  </si>
  <si>
    <t xml:space="preserve">HU Medido </t>
  </si>
  <si>
    <t>Δ nominal (medido − nominal, informativa)</t>
  </si>
  <si>
    <t>Estado Material</t>
  </si>
  <si>
    <t>Métrica Regresión</t>
  </si>
  <si>
    <t>Estado Linealidad</t>
  </si>
  <si>
    <t>CORTE 1</t>
  </si>
  <si>
    <t>Polietileno (PE)</t>
  </si>
  <si>
    <t>± 5 HU</t>
  </si>
  <si>
    <t>ESTADO LINEALIDAD:</t>
  </si>
  <si>
    <t>Poliestireno (PS)</t>
  </si>
  <si>
    <t>Agua (Fondo)</t>
  </si>
  <si>
    <t>Respuesta monótona:</t>
  </si>
  <si>
    <t>Nylon</t>
  </si>
  <si>
    <t>Δ conjunto vs nominal (info):</t>
  </si>
  <si>
    <t>Policarbonato (PC)</t>
  </si>
  <si>
    <t>Plásticos con referencia:</t>
  </si>
  <si>
    <t>PMMA</t>
  </si>
  <si>
    <t>CORTE 2</t>
  </si>
  <si>
    <t>CORTE 3</t>
  </si>
  <si>
    <t>PROMEDIO</t>
  </si>
  <si>
    <t>4. RESOLUCIÓN ESPACIAL DE ALTO CONTRASTE</t>
  </si>
  <si>
    <t>Método de Evaluación</t>
  </si>
  <si>
    <t>Línea Base (opcional, seguimiento)</t>
  </si>
  <si>
    <t>Criterio de Aceptación</t>
  </si>
  <si>
    <t>Estado Resolución</t>
  </si>
  <si>
    <t>4A. Método Visual (Grupo Orificios Aire)</t>
  </si>
  <si>
    <t>N/A</t>
  </si>
  <si>
    <t>Sin criterio (informativo)</t>
  </si>
  <si>
    <t>5. RESOLUCIÓN DE BAJO CONTRASTE</t>
  </si>
  <si>
    <t>Métrica</t>
  </si>
  <si>
    <t>Valor Medido</t>
  </si>
  <si>
    <t>Línea Base</t>
  </si>
  <si>
    <t>Estado Pruebas</t>
  </si>
  <si>
    <t>Observaciones / Nota Importante</t>
  </si>
  <si>
    <t>Diámetro Mínimo Perceptible (mm)</t>
  </si>
  <si>
    <t>Igual o mejor que Línea Base</t>
  </si>
  <si>
    <t>NO APLICA</t>
  </si>
  <si>
    <t>NO APLICA: Las cavidades no se encuentran rellenas con solución de contraste.</t>
  </si>
  <si>
    <t>6. ESPESOR DE CORTE (Láminas de Aluminio a 45°)</t>
  </si>
  <si>
    <t>Lámina</t>
  </si>
  <si>
    <t>Espesor Nominal (mm)</t>
  </si>
  <si>
    <t>Tolerancia Espesor</t>
  </si>
  <si>
    <t>Estado Espesor</t>
  </si>
  <si>
    <t>Dispersión (Máx - Mín)</t>
  </si>
  <si>
    <t>Lámina 1</t>
  </si>
  <si>
    <t>Lámina 2</t>
  </si>
  <si>
    <t>Lámina 3</t>
  </si>
  <si>
    <t>Ingresar Espesor Nominal (mm):</t>
  </si>
  <si>
    <t>Promedio Real:</t>
  </si>
  <si>
    <t>ESTADO ESPESOR:</t>
  </si>
  <si>
    <t>7. TAMAÑO DE PÍXEL (Verificación Geométrica)</t>
  </si>
  <si>
    <t>Diámetro Medido (mm)</t>
  </si>
  <si>
    <t>Error Relativo (%)</t>
  </si>
  <si>
    <t>Tolerancia</t>
  </si>
  <si>
    <t>Estado Verificación</t>
  </si>
  <si>
    <t>Observaciones / Acción Recomendada</t>
  </si>
  <si>
    <t>Diámetro Interno del Tanque</t>
  </si>
  <si>
    <t>&lt; 2.0 %</t>
  </si>
  <si>
    <t>INFORME RESUMEN Y CONFORMIDAD DE CONTROL DE CALIDAD TC</t>
  </si>
  <si>
    <t>Prueba / Parámetro Evaluado</t>
  </si>
  <si>
    <t>Valor Medido / Métrica</t>
  </si>
  <si>
    <t>Tolerancia / Criterio</t>
  </si>
  <si>
    <t>Estado Parcial</t>
  </si>
  <si>
    <t>Nivel de Impacto</t>
  </si>
  <si>
    <t>Dictamen / Recomendación</t>
  </si>
  <si>
    <t>Número CT del agua (HU)</t>
  </si>
  <si>
    <t>Alto</t>
  </si>
  <si>
    <t>Calibración de escala HU</t>
  </si>
  <si>
    <t>Dosis / Corriente de tubo / Algoritmo</t>
  </si>
  <si>
    <t>Uniformidad Espacial (ΔCT máx)</t>
  </si>
  <si>
    <t>Artefactos en rosquilla / Filtros de reconst.</t>
  </si>
  <si>
    <t>Crítico</t>
  </si>
  <si>
    <t>Calibración detector / Tabla de materiales</t>
  </si>
  <si>
    <t>Resolución Alto Contraste (Visual)</t>
  </si>
  <si>
    <t>≥ 5 pl/cm</t>
  </si>
  <si>
    <t>Medio</t>
  </si>
  <si>
    <t>Enfoque del tubo / Matriz / Filtro alto contraste</t>
  </si>
  <si>
    <t>Resolución Bajo Contraste</t>
  </si>
  <si>
    <t>Vs Línea Base</t>
  </si>
  <si>
    <t>Sin contraste en cavidades</t>
  </si>
  <si>
    <t>Espesor de Corte Promedio</t>
  </si>
  <si>
    <t>Colimación / Ancho de haz</t>
  </si>
  <si>
    <t>Bajo</t>
  </si>
  <si>
    <t>Alineación del fantoma / Mesa</t>
  </si>
  <si>
    <t>Verificación Tamaño de Píxel</t>
  </si>
  <si>
    <t>Geometría DICOM / Calibración de campo (FOV)</t>
  </si>
  <si>
    <t>DIAGNOSTICO Y ESTADO GLOBAL DEL TOMÓGRAFO</t>
  </si>
  <si>
    <t>DICTAMEN FINAL:</t>
  </si>
  <si>
    <t>TABLAS DE REFERENCIA Y VALORES ESPERADOS (PRO-CT AAPM)</t>
  </si>
  <si>
    <t>HU Nominal Fabricante</t>
  </si>
  <si>
    <t>Criterio</t>
  </si>
  <si>
    <t>Nota</t>
  </si>
  <si>
    <t>El 0 HU es la definición de la escala</t>
  </si>
  <si>
    <t>Número CT del agua</t>
  </si>
  <si>
    <t>AAPM / ARCAL / TECDOC</t>
  </si>
  <si>
    <t>Ruido</t>
  </si>
  <si>
    <t>Uniformidad (ΔCT máx.)</t>
  </si>
  <si>
    <t>Resolución de alto contraste</t>
  </si>
  <si>
    <t>Espesor de corte</t>
  </si>
  <si>
    <t>Tamaño de píxel</t>
  </si>
  <si>
    <t>&lt; 2 %</t>
  </si>
  <si>
    <t>Persona que evalúa:</t>
  </si>
  <si>
    <t>Desv. est. σ (HU), solo en el corte central</t>
  </si>
  <si>
    <t>Ruido (%) = σ / 1000 × 100</t>
  </si>
  <si>
    <t>Criterio ruido</t>
  </si>
  <si>
    <t>RESULTADO:</t>
  </si>
  <si>
    <t>± 25 % de la línea base</t>
  </si>
  <si>
    <t>La media HU es el promedio de los cortes. El ruido se mide en un solo corte, el central: escriba σ solo en esa fila. Ruido (%) = σ / 1000 × 100.</t>
  </si>
  <si>
    <t>Línea base del ruido (%), mismo equipo y misma técnica:</t>
  </si>
  <si>
    <t>Si aún no hay línea base, este control pasa a serlo.</t>
  </si>
  <si>
    <t>HU nominal del fabricante (informativo)</t>
  </si>
  <si>
    <t>Tolerancia (vs línea base del equipo)</t>
  </si>
  <si>
    <t>Valor</t>
  </si>
  <si>
    <t>HU línea base del equipo (1.ª medición, mismo kV)</t>
  </si>
  <si>
    <t>ΔCT vs línea base (HU)</t>
  </si>
  <si>
    <t>Coeficiente R² (informativo):</t>
  </si>
  <si>
    <t>La línea base es la primera medición completa del equipo, al mismo kilovoltaje: escríbala una vez en J47:J52 y se copia a los demás cortes. Mientras no exista, las varillas salen SIN REFERENCIA y la linealidad se decide solo por el agua (0 ± 5 HU). Si esa primera medición no es confiable, descártela. Los valores nominales, el R² y las columnas «Δ nominal» y «Δ conjunto vs nominal» son informativos, sin criterio. «Respuesta monótona» comprueba que los 6 valores crezcan en el orden de la tabla (PE &lt; PS &lt; Agua &lt; Nailon &lt; PC &lt; PMMA); si sale NO, revise cuál varilla es cuál.</t>
  </si>
  <si>
    <t>Frecuencia espacial (pl/cm)</t>
  </si>
  <si>
    <t>4B. Perfil sobre el alambre de 0,2 mm (ancho a media altura)</t>
  </si>
  <si>
    <t>¿Protocolo de tórax? (SÍ / NO):</t>
  </si>
  <si>
    <t>NO</t>
  </si>
  <si>
    <t>Ancho a media altura medido (mm)</t>
  </si>
  <si>
    <t>Espesor real (mm) = ancho × tan 45°</t>
  </si>
  <si>
    <t>Criterio dispersión</t>
  </si>
  <si>
    <t>Dato, sin criterio</t>
  </si>
  <si>
    <t>Criterio de la sección: el promedio y cada una de las tres láminas deben quedar dentro de la tolerancia (Tabla 6 de la guía). La dispersión se registra como dato, sin criterio.</t>
  </si>
  <si>
    <t>Diámetro interior real (mm)</t>
  </si>
  <si>
    <t>Verificación recomendada; el módulo no la evalúa.</t>
  </si>
  <si>
    <t>Ruido relativo (%)</t>
  </si>
  <si>
    <t>Linealidad CT (mayor |ΔCT| vs línea base, HU)</t>
  </si>
  <si>
    <t>Varillas ± 5 HU vs línea base; agua 0 ± 5 HU</t>
  </si>
  <si>
    <t>Tabla 6 de la guía</t>
  </si>
  <si>
    <t>Dispersión entre láminas (dato)</t>
  </si>
  <si>
    <t>Sin criterio</t>
  </si>
  <si>
    <t>Linealidad: valores nominales del fabricante (informativos) y criterio contra la línea base del equipo</t>
  </si>
  <si>
    <t>± 5 HU vs línea base del equipo</t>
  </si>
  <si>
    <t>Nominal informativo, sin criterio</t>
  </si>
  <si>
    <t>Criterios vigentes</t>
  </si>
  <si>
    <t>± 25 % respecto a la línea base (σ de un solo corte)</t>
  </si>
  <si>
    <t>TECDOC-1958</t>
  </si>
  <si>
    <t>≥ 6 pl/cm en protocolos de tórax; el ancho a media altura del alambre es un dato sin criterio</t>
  </si>
  <si>
    <t>Tabla 6 de la guía (TECDOC-1958)</t>
  </si>
  <si>
    <t>≤ 1 mm: &lt; nominal + 0,5 mm; 1 a 2 mm: ± 50 %; &gt; 2 mm: ± 1 mm; el promedio y las 3 láminas en tolerancia; la dispersión es un dato</t>
  </si>
  <si>
    <t>Recomendado; el módulo no lo evalúa</t>
  </si>
  <si>
    <t>Diámetro de la fila o ancho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</si>
</sst>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E0F2FE"/>
      <name val="Calibri"/>
    </font>
    <font>
      <b/>
      <sz val="11"/>
      <name val="Calibri"/>
    </font>
    <font>
      <sz val="11"/>
      <name val="Calibri"/>
    </font>
    <font>
      <b/>
      <sz val="11"/>
      <color rgb="FF1E293B"/>
      <name val="Calibri"/>
    </font>
    <font>
      <b/>
      <sz val="11"/>
      <color rgb="FFFFFFFF"/>
      <name val="Calibri"/>
    </font>
    <font>
      <b/>
      <sz val="11"/>
      <color rgb="FF64748B"/>
      <name val="Calibri"/>
    </font>
    <font>
      <i/>
      <sz val="9"/>
      <color rgb="FF64748B"/>
      <name val="Calibri"/>
    </font>
    <font>
      <b/>
      <sz val="12"/>
      <color rgb="FF1E3A8A"/>
      <name val="Calibri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E2E8F0"/>
        <bgColor rgb="FFE2E8F0"/>
      </patternFill>
    </fill>
    <fill>
      <patternFill patternType="solid">
        <fgColor rgb="FF1E3A8A"/>
        <bgColor rgb="FF1E3A8A"/>
      </patternFill>
    </fill>
    <fill>
      <patternFill patternType="solid">
        <fgColor rgb="FFF8FAFC"/>
        <bgColor rgb="FFF8FAFC"/>
      </patternFill>
    </fill>
    <fill>
      <patternFill patternType="solid">
        <fgColor theme="4" tint="0.79998168889431442"/>
        <bgColor rgb="FF1E3A8A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 applyAlignment="1">
      <alignment horizontal="right" vertical="center"/>
    </xf>
    <xf numFmtId="0" fontId="4" fillId="0" borderId="1" xfId="0" applyFont="1" applyBorder="1"/>
    <xf numFmtId="0" fontId="6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right" vertical="center"/>
    </xf>
    <xf numFmtId="2" fontId="3" fillId="5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2" fontId="0" fillId="5" borderId="1" xfId="0" applyNumberFormat="1" applyFill="1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164" fontId="3" fillId="5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/>
    <xf numFmtId="2" fontId="3" fillId="0" borderId="1" xfId="0" applyNumberFormat="1" applyFon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5" fillId="3" borderId="1" xfId="0" applyFont="1" applyFill="1" applyBorder="1"/>
    <xf numFmtId="0" fontId="0" fillId="7" borderId="0" xfId="0" applyFill="1"/>
    <xf numFmtId="0" fontId="0" fillId="0" borderId="1" xfId="0" applyBorder="1" applyAlignment="1">
      <alignment vertical="top" wrapText="1"/>
    </xf>
    <xf numFmtId="165" fontId="3" fillId="5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10" fillId="6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0" fillId="0" borderId="0" xfId="0" applyAlignment="1">
      <alignment vertical="top" wrapText="1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2" fillId="2" borderId="0" xfId="0" applyFont="1" applyFill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"/>
  <sheetViews>
    <sheetView tabSelected="1" workbookViewId="0">
      <selection sqref="A1:I1"/>
    </sheetView>
  </sheetViews>
  <sheetFormatPr defaultColWidth="8.88671875" defaultRowHeight="14.4" x14ac:dyDescent="0.3"/>
  <cols>
    <col min="1" max="1" width="37.33203125" customWidth="1"/>
    <col min="2" max="3" width="22" customWidth="1"/>
    <col min="4" max="5" width="24" customWidth="1"/>
    <col min="6" max="6" width="22" customWidth="1"/>
    <col min="7" max="7" width="13" customWidth="1"/>
    <col min="8" max="8" width="20" customWidth="1"/>
    <col min="9" max="9" width="45" customWidth="1"/>
    <col min="10" max="10" width="24" customWidth="1"/>
    <col min="11" max="11" width="18" customWidth="1"/>
  </cols>
  <sheetData>
    <row r="1" spans="1:9" x14ac:dyDescent="0.3">
      <c r="A1" s="27" t="s">
        <v>0</v>
      </c>
      <c r="B1" s="28"/>
      <c r="C1" s="28"/>
      <c r="D1" s="28"/>
      <c r="E1" s="28"/>
      <c r="F1" s="28"/>
      <c r="G1" s="28"/>
      <c r="H1" s="28"/>
      <c r="I1" s="28"/>
    </row>
    <row r="2" spans="1:9" x14ac:dyDescent="0.3">
      <c r="A2" s="33" t="s">
        <v>1</v>
      </c>
      <c r="B2" s="28"/>
      <c r="C2" s="28"/>
      <c r="D2" s="28"/>
      <c r="E2" s="28"/>
      <c r="F2" s="28"/>
      <c r="G2" s="28"/>
      <c r="H2" s="28"/>
      <c r="I2" s="28"/>
    </row>
    <row r="4" spans="1:9" x14ac:dyDescent="0.3">
      <c r="A4" s="1" t="s">
        <v>2</v>
      </c>
      <c r="B4" s="2"/>
      <c r="D4" s="1" t="s">
        <v>3</v>
      </c>
      <c r="E4" s="2"/>
      <c r="G4" s="1" t="s">
        <v>136</v>
      </c>
      <c r="H4" s="2"/>
    </row>
    <row r="5" spans="1:9" x14ac:dyDescent="0.3">
      <c r="A5" s="1"/>
      <c r="B5" s="2"/>
      <c r="D5" s="1"/>
      <c r="E5" s="2"/>
      <c r="G5" s="1"/>
      <c r="H5" s="2"/>
    </row>
    <row r="6" spans="1:9" x14ac:dyDescent="0.3">
      <c r="A6" s="23" t="s">
        <v>4</v>
      </c>
      <c r="B6" s="24"/>
      <c r="C6" s="24"/>
      <c r="D6" s="24"/>
      <c r="E6" s="24"/>
      <c r="F6" s="24"/>
      <c r="G6" s="24"/>
      <c r="H6" s="24"/>
      <c r="I6" s="25"/>
    </row>
    <row r="7" spans="1:9" ht="28.8" x14ac:dyDescent="0.3">
      <c r="A7" s="3" t="s">
        <v>5</v>
      </c>
      <c r="B7" s="3" t="s">
        <v>6</v>
      </c>
      <c r="C7" s="3" t="s">
        <v>137</v>
      </c>
      <c r="D7" s="3" t="s">
        <v>138</v>
      </c>
      <c r="E7" s="3" t="s">
        <v>7</v>
      </c>
      <c r="F7" s="3" t="s">
        <v>139</v>
      </c>
      <c r="G7" s="3" t="s">
        <v>8</v>
      </c>
      <c r="H7" s="3" t="s">
        <v>9</v>
      </c>
      <c r="I7" s="3" t="s">
        <v>10</v>
      </c>
    </row>
    <row r="8" spans="1:9" x14ac:dyDescent="0.3">
      <c r="A8" s="4" t="s">
        <v>11</v>
      </c>
      <c r="B8" s="5"/>
      <c r="C8" s="5"/>
      <c r="D8" s="5" t="str">
        <f>IF(ISBLANK(C8),"",C8/1000*100)</f>
        <v/>
      </c>
      <c r="E8" s="4" t="s">
        <v>12</v>
      </c>
      <c r="F8" s="4"/>
      <c r="G8" s="6" t="str">
        <f t="shared" ref="G8:G12" si="0">IF(ISBLANK(B8),"",IF(AND(B8&gt;=-5,B8&lt;=5),"CUMPLE","NO CUMPLE"))</f>
        <v/>
      </c>
      <c r="H8" s="6"/>
      <c r="I8" s="7"/>
    </row>
    <row r="9" spans="1:9" x14ac:dyDescent="0.3">
      <c r="A9" s="4" t="s">
        <v>13</v>
      </c>
      <c r="B9" s="5"/>
      <c r="C9" s="5"/>
      <c r="D9" s="5" t="str">
        <f>IF(ISBLANK(C9),"",C9/1000*100)</f>
        <v/>
      </c>
      <c r="E9" s="4" t="s">
        <v>12</v>
      </c>
      <c r="F9" s="4"/>
      <c r="G9" s="6" t="str">
        <f t="shared" si="0"/>
        <v/>
      </c>
      <c r="H9" s="6"/>
      <c r="I9" s="7"/>
    </row>
    <row r="10" spans="1:9" x14ac:dyDescent="0.3">
      <c r="A10" s="4" t="s">
        <v>14</v>
      </c>
      <c r="B10" s="5"/>
      <c r="C10" s="5"/>
      <c r="D10" s="5" t="str">
        <f>IF(ISBLANK(C10),"",C10/1000*100)</f>
        <v/>
      </c>
      <c r="E10" s="4" t="s">
        <v>12</v>
      </c>
      <c r="F10" s="4"/>
      <c r="G10" s="6" t="str">
        <f t="shared" si="0"/>
        <v/>
      </c>
      <c r="H10" s="6"/>
      <c r="I10" s="7"/>
    </row>
    <row r="11" spans="1:9" x14ac:dyDescent="0.3">
      <c r="A11" s="4" t="s">
        <v>15</v>
      </c>
      <c r="B11" s="5"/>
      <c r="C11" s="5"/>
      <c r="D11" s="5" t="str">
        <f>IF(ISBLANK(C11),"",C11/1000*100)</f>
        <v/>
      </c>
      <c r="E11" s="4" t="s">
        <v>12</v>
      </c>
      <c r="F11" s="4"/>
      <c r="G11" s="6" t="str">
        <f t="shared" si="0"/>
        <v/>
      </c>
      <c r="H11" s="6"/>
      <c r="I11" s="7"/>
    </row>
    <row r="12" spans="1:9" x14ac:dyDescent="0.3">
      <c r="A12" s="4" t="s">
        <v>16</v>
      </c>
      <c r="B12" s="5"/>
      <c r="C12" s="5"/>
      <c r="D12" s="5" t="str">
        <f>IF(ISBLANK(C12),"",C12/1000*100)</f>
        <v/>
      </c>
      <c r="E12" s="4" t="s">
        <v>12</v>
      </c>
      <c r="F12" s="4"/>
      <c r="G12" s="6" t="str">
        <f t="shared" si="0"/>
        <v/>
      </c>
      <c r="H12" s="6"/>
      <c r="I12" s="7"/>
    </row>
    <row r="13" spans="1:9" ht="43.2" x14ac:dyDescent="0.3">
      <c r="A13" s="8" t="s">
        <v>140</v>
      </c>
      <c r="B13" s="9" t="str">
        <f>IF(COUNT(B8:B12)=0,"",AVERAGE(B8:B12))</f>
        <v/>
      </c>
      <c r="C13" s="9" t="str">
        <f>IF(COUNT(C8:C12)=1,SUM(C8:C12),"")</f>
        <v/>
      </c>
      <c r="D13" s="9" t="str">
        <f>IF(C13="","",C13/1000*100)</f>
        <v/>
      </c>
      <c r="E13" s="4" t="s">
        <v>12</v>
      </c>
      <c r="F13" s="4" t="s">
        <v>141</v>
      </c>
      <c r="G13" s="6" t="str">
        <f>IF(B13="","",IF(AND(B13&gt;=-5,B13&lt;=5),"CUMPLE","NO CUMPLE"))</f>
        <v/>
      </c>
      <c r="H13" s="6" t="str">
        <f>IF(COUNT(C8:C12)=0,"",IF(COUNT(C8:C12)&gt;1,"ESCRIBIR σ EN UN SOLO CORTE",IF(ISBLANK(D14),"SIN REFERENCIA",IF(ABS(D13-D14)&lt;=0.25*D14,"CUMPLE","NO CUMPLE"))))</f>
        <v/>
      </c>
      <c r="I13" s="21" t="s">
        <v>142</v>
      </c>
    </row>
    <row r="14" spans="1:9" x14ac:dyDescent="0.3">
      <c r="A14" s="30" t="s">
        <v>143</v>
      </c>
      <c r="B14" s="31"/>
      <c r="C14" s="32"/>
      <c r="D14" s="5"/>
      <c r="E14" s="4"/>
      <c r="F14" s="4"/>
      <c r="G14" s="6"/>
      <c r="H14" s="6"/>
      <c r="I14" s="21" t="s">
        <v>144</v>
      </c>
    </row>
    <row r="15" spans="1:9" x14ac:dyDescent="0.3">
      <c r="A15" s="23" t="s">
        <v>17</v>
      </c>
      <c r="B15" s="24"/>
      <c r="C15" s="24"/>
      <c r="D15" s="24"/>
      <c r="E15" s="24"/>
      <c r="F15" s="24"/>
      <c r="G15" s="24"/>
      <c r="H15" s="24"/>
      <c r="I15" s="25"/>
    </row>
    <row r="16" spans="1:9" ht="28.8" customHeight="1" x14ac:dyDescent="0.3">
      <c r="A16" s="3" t="s">
        <v>18</v>
      </c>
      <c r="B16" s="3" t="s">
        <v>6</v>
      </c>
      <c r="C16" s="3" t="s">
        <v>19</v>
      </c>
      <c r="D16" s="3" t="s">
        <v>20</v>
      </c>
      <c r="E16" s="3" t="s">
        <v>21</v>
      </c>
      <c r="F16" s="3" t="s">
        <v>22</v>
      </c>
      <c r="G16" s="3" t="s">
        <v>23</v>
      </c>
      <c r="H16" s="3" t="s">
        <v>24</v>
      </c>
      <c r="I16" s="3" t="s">
        <v>10</v>
      </c>
    </row>
    <row r="17" spans="1:11" ht="28.8" x14ac:dyDescent="0.3">
      <c r="A17" s="10" t="s">
        <v>25</v>
      </c>
      <c r="B17" s="5"/>
      <c r="C17" s="11">
        <f>$B$17</f>
        <v>0</v>
      </c>
      <c r="D17" s="11">
        <v>0</v>
      </c>
      <c r="E17" s="4" t="s">
        <v>26</v>
      </c>
      <c r="F17" s="8" t="s">
        <v>27</v>
      </c>
      <c r="G17" s="6" t="s">
        <v>28</v>
      </c>
      <c r="H17" s="7"/>
      <c r="I17" s="7"/>
    </row>
    <row r="18" spans="1:11" x14ac:dyDescent="0.3">
      <c r="A18" s="10" t="s">
        <v>29</v>
      </c>
      <c r="B18" s="5"/>
      <c r="C18" s="11">
        <f>$B$17</f>
        <v>0</v>
      </c>
      <c r="D18" s="11">
        <f>ABS(B18-C18)</f>
        <v>0</v>
      </c>
      <c r="E18" s="4" t="s">
        <v>26</v>
      </c>
      <c r="F18" s="9">
        <f>MAX(D18:D21)</f>
        <v>0</v>
      </c>
      <c r="G18" s="6" t="str">
        <f>IF(ISBLANK(B17),"",IF(F18&lt;=10,"CUMPLE","NO CUMPLE"))</f>
        <v/>
      </c>
      <c r="H18" s="7"/>
      <c r="I18" s="7"/>
    </row>
    <row r="19" spans="1:11" x14ac:dyDescent="0.3">
      <c r="A19" s="10" t="s">
        <v>30</v>
      </c>
      <c r="B19" s="5"/>
      <c r="C19" s="11">
        <f>$B$17</f>
        <v>0</v>
      </c>
      <c r="D19" s="11">
        <f>ABS(B19-C19)</f>
        <v>0</v>
      </c>
      <c r="E19" s="4" t="s">
        <v>26</v>
      </c>
      <c r="F19" s="7"/>
      <c r="G19" s="7"/>
      <c r="H19" s="7"/>
      <c r="I19" s="7"/>
    </row>
    <row r="20" spans="1:11" x14ac:dyDescent="0.3">
      <c r="A20" s="10" t="s">
        <v>31</v>
      </c>
      <c r="B20" s="5"/>
      <c r="C20" s="11">
        <f>$B$17</f>
        <v>0</v>
      </c>
      <c r="D20" s="11">
        <f>ABS(B20-C20)</f>
        <v>0</v>
      </c>
      <c r="E20" s="4" t="s">
        <v>26</v>
      </c>
      <c r="F20" s="7"/>
      <c r="G20" s="7"/>
      <c r="H20" s="7"/>
      <c r="I20" s="7"/>
    </row>
    <row r="21" spans="1:11" x14ac:dyDescent="0.3">
      <c r="A21" s="10" t="s">
        <v>32</v>
      </c>
      <c r="B21" s="5"/>
      <c r="C21" s="11">
        <f>$B$17</f>
        <v>0</v>
      </c>
      <c r="D21" s="11">
        <f>ABS(B21-C21)</f>
        <v>0</v>
      </c>
      <c r="E21" s="4" t="s">
        <v>26</v>
      </c>
      <c r="F21" s="7"/>
      <c r="G21" s="7"/>
      <c r="H21" s="7"/>
      <c r="I21" s="7"/>
    </row>
    <row r="23" spans="1:11" x14ac:dyDescent="0.3">
      <c r="A23" s="23" t="s">
        <v>33</v>
      </c>
      <c r="B23" s="24"/>
      <c r="C23" s="24"/>
      <c r="D23" s="24"/>
      <c r="E23" s="24"/>
      <c r="F23" s="24"/>
      <c r="G23" s="24"/>
      <c r="H23" s="24"/>
      <c r="I23" s="25"/>
    </row>
    <row r="24" spans="1:11" ht="28.8" customHeight="1" x14ac:dyDescent="0.3">
      <c r="A24" s="3" t="s">
        <v>34</v>
      </c>
      <c r="B24" s="3" t="s">
        <v>145</v>
      </c>
      <c r="C24" s="3" t="s">
        <v>35</v>
      </c>
      <c r="D24" s="3" t="s">
        <v>36</v>
      </c>
      <c r="E24" s="3" t="s">
        <v>146</v>
      </c>
      <c r="F24" s="3" t="s">
        <v>37</v>
      </c>
      <c r="G24" s="3" t="s">
        <v>38</v>
      </c>
      <c r="H24" s="3" t="s">
        <v>147</v>
      </c>
      <c r="I24" s="3" t="s">
        <v>39</v>
      </c>
      <c r="J24" s="3" t="s">
        <v>148</v>
      </c>
      <c r="K24" s="3" t="s">
        <v>149</v>
      </c>
    </row>
    <row r="25" spans="1:11" s="20" customFormat="1" x14ac:dyDescent="0.3">
      <c r="A25" s="26" t="s">
        <v>40</v>
      </c>
      <c r="B25" s="24"/>
      <c r="C25" s="24"/>
      <c r="D25" s="24"/>
      <c r="E25" s="24"/>
      <c r="F25" s="24"/>
      <c r="G25" s="24"/>
      <c r="H25" s="24"/>
      <c r="I25" s="25"/>
    </row>
    <row r="26" spans="1:11" x14ac:dyDescent="0.3">
      <c r="A26" s="10" t="s">
        <v>41</v>
      </c>
      <c r="B26" s="12">
        <v>-92</v>
      </c>
      <c r="C26" s="5"/>
      <c r="D26" s="11" t="str">
        <f t="shared" ref="D26:D31" si="1">IF(ISBLANK(C26),"",C26-B26)</f>
        <v/>
      </c>
      <c r="E26" s="4" t="s">
        <v>42</v>
      </c>
      <c r="F26" s="6" t="str">
        <f>IF(ISBLANK(C26),"",IF(J26="","SIN REFERENCIA",IF(ABS(C26-J26)&lt;=5,"CUMPLE","NO CUMPLE")))</f>
        <v/>
      </c>
      <c r="G26" s="8" t="s">
        <v>150</v>
      </c>
      <c r="H26" s="13" t="str">
        <f>IF(COUNT(C26:C31)&lt;6,"",RSQ(C26:C31,B26:B31))</f>
        <v/>
      </c>
      <c r="I26" s="6" t="s">
        <v>43</v>
      </c>
      <c r="J26" s="5" t="str">
        <f t="shared" ref="J26:J31" si="2">IF(ISBLANK(J47),"",J47)</f>
        <v/>
      </c>
      <c r="K26" s="11" t="str">
        <f>IF(OR(ISBLANK(C26),J26="",J26=0),"",C26-J26)</f>
        <v/>
      </c>
    </row>
    <row r="27" spans="1:11" x14ac:dyDescent="0.3">
      <c r="A27" s="10" t="s">
        <v>44</v>
      </c>
      <c r="B27" s="12">
        <v>-24</v>
      </c>
      <c r="C27" s="5"/>
      <c r="D27" s="11" t="str">
        <f t="shared" si="1"/>
        <v/>
      </c>
      <c r="E27" s="4" t="s">
        <v>42</v>
      </c>
      <c r="F27" s="6" t="str">
        <f>IF(ISBLANK(C27),"",IF(J27="","SIN REFERENCIA",IF(ABS(C27-J27)&lt;=5,"CUMPLE","NO CUMPLE")))</f>
        <v/>
      </c>
      <c r="G27" s="8"/>
      <c r="H27" s="4"/>
      <c r="I27" s="6" t="str">
        <f>IF(COUNT(C26:C31)&lt;6,"",IF(COUNTIF(F26:F31,"NO CUMPLE")=0,"CUMPLE","NO CUMPLE"))</f>
        <v/>
      </c>
      <c r="J27" s="5" t="str">
        <f t="shared" si="2"/>
        <v/>
      </c>
      <c r="K27" s="11" t="str">
        <f>IF(OR(ISBLANK(C27),J27="",J27=0),"",C27-J27)</f>
        <v/>
      </c>
    </row>
    <row r="28" spans="1:11" x14ac:dyDescent="0.3">
      <c r="A28" s="10" t="s">
        <v>45</v>
      </c>
      <c r="B28" s="12">
        <v>0</v>
      </c>
      <c r="C28" s="5"/>
      <c r="D28" s="11" t="str">
        <f t="shared" si="1"/>
        <v/>
      </c>
      <c r="E28" s="4" t="s">
        <v>42</v>
      </c>
      <c r="F28" s="6" t="str">
        <f>IF(ISBLANK(C28),"",IF(ABS(C28)&lt;=5,"CUMPLE","NO CUMPLE"))</f>
        <v/>
      </c>
      <c r="G28" s="8" t="s">
        <v>46</v>
      </c>
      <c r="H28" s="13" t="str">
        <f>IF(COUNT(C26:C31)&lt;6,"",IF(AND(C26&lt;C27,C27&lt;C28,C28&lt;C29,C29&lt;C30,C30&lt;C31),"SÍ","NO"))</f>
        <v/>
      </c>
      <c r="I28" s="7"/>
      <c r="J28" s="5" t="str">
        <f t="shared" si="2"/>
        <v/>
      </c>
      <c r="K28" s="11"/>
    </row>
    <row r="29" spans="1:11" x14ac:dyDescent="0.3">
      <c r="A29" s="10" t="s">
        <v>47</v>
      </c>
      <c r="B29" s="12">
        <v>92</v>
      </c>
      <c r="C29" s="5"/>
      <c r="D29" s="11" t="str">
        <f t="shared" si="1"/>
        <v/>
      </c>
      <c r="E29" s="4" t="s">
        <v>42</v>
      </c>
      <c r="F29" s="6" t="str">
        <f>IF(ISBLANK(C29),"",IF(J29="","SIN REFERENCIA",IF(ABS(C29-J29)&lt;=5,"CUMPLE","NO CUMPLE")))</f>
        <v/>
      </c>
      <c r="G29" s="8" t="s">
        <v>48</v>
      </c>
      <c r="H29" s="22" t="str">
        <f>IF(COUNT(C26:C31)&lt;6,"",MAX(ABS(SMALL(C26:C31,1)-SMALL(B26:B31,1)),ABS(SMALL(C26:C31,2)-SMALL(B26:B31,2)),ABS(SMALL(C26:C31,3)-SMALL(B26:B31,3)),ABS(SMALL(C26:C31,4)-SMALL(B26:B31,4)),ABS(SMALL(C26:C31,5)-SMALL(B26:B31,5)),ABS(SMALL(C26:C31,6)-SMALL(B26:B31,6))))</f>
        <v/>
      </c>
      <c r="I29" s="7"/>
      <c r="J29" s="5" t="str">
        <f t="shared" si="2"/>
        <v/>
      </c>
      <c r="K29" s="11" t="str">
        <f>IF(OR(ISBLANK(C29),J29="",J29=0),"",C29-J29)</f>
        <v/>
      </c>
    </row>
    <row r="30" spans="1:11" x14ac:dyDescent="0.3">
      <c r="A30" s="10" t="s">
        <v>49</v>
      </c>
      <c r="B30" s="12">
        <v>102</v>
      </c>
      <c r="C30" s="5"/>
      <c r="D30" s="11" t="str">
        <f t="shared" si="1"/>
        <v/>
      </c>
      <c r="E30" s="4" t="s">
        <v>42</v>
      </c>
      <c r="F30" s="6" t="str">
        <f>IF(ISBLANK(C30),"",IF(J30="","SIN REFERENCIA",IF(ABS(C30-J30)&lt;=5,"CUMPLE","NO CUMPLE")))</f>
        <v/>
      </c>
      <c r="G30" s="8" t="s">
        <v>50</v>
      </c>
      <c r="H30" s="13" t="str">
        <f>COUNT(J26,J27,J29,J30,J31)&amp;" de 5"</f>
        <v>0 de 5</v>
      </c>
      <c r="I30" s="7"/>
      <c r="J30" s="5" t="str">
        <f t="shared" si="2"/>
        <v/>
      </c>
      <c r="K30" s="11" t="str">
        <f>IF(OR(ISBLANK(C30),J30="",J30=0),"",C30-J30)</f>
        <v/>
      </c>
    </row>
    <row r="31" spans="1:11" x14ac:dyDescent="0.3">
      <c r="A31" s="10" t="s">
        <v>51</v>
      </c>
      <c r="B31" s="12">
        <v>120</v>
      </c>
      <c r="C31" s="5"/>
      <c r="D31" s="11" t="str">
        <f t="shared" si="1"/>
        <v/>
      </c>
      <c r="E31" s="4" t="s">
        <v>42</v>
      </c>
      <c r="F31" s="6" t="str">
        <f>IF(ISBLANK(C31),"",IF(J31="","SIN REFERENCIA",IF(ABS(C31-J31)&lt;=5,"CUMPLE","NO CUMPLE")))</f>
        <v/>
      </c>
      <c r="G31" s="7"/>
      <c r="H31" s="7"/>
      <c r="I31" s="7"/>
      <c r="J31" s="5" t="str">
        <f t="shared" si="2"/>
        <v/>
      </c>
      <c r="K31" s="11" t="str">
        <f>IF(OR(ISBLANK(C31),J31="",J31=0),"",C31-J31)</f>
        <v/>
      </c>
    </row>
    <row r="32" spans="1:11" x14ac:dyDescent="0.3">
      <c r="A32" s="26" t="s">
        <v>52</v>
      </c>
      <c r="B32" s="24"/>
      <c r="C32" s="24"/>
      <c r="D32" s="24"/>
      <c r="E32" s="24"/>
      <c r="F32" s="24"/>
      <c r="G32" s="24"/>
      <c r="H32" s="24"/>
      <c r="I32" s="25"/>
    </row>
    <row r="33" spans="1:11" x14ac:dyDescent="0.3">
      <c r="A33" s="10" t="s">
        <v>41</v>
      </c>
      <c r="B33" s="12">
        <v>-92</v>
      </c>
      <c r="C33" s="5"/>
      <c r="D33" s="11" t="str">
        <f t="shared" ref="D33:D38" si="3">IF(ISBLANK(C33),"",C33-B33)</f>
        <v/>
      </c>
      <c r="E33" s="4" t="s">
        <v>42</v>
      </c>
      <c r="F33" s="6" t="str">
        <f>IF(ISBLANK(C33),"",IF(J33="","SIN REFERENCIA",IF(ABS(C33-J33)&lt;=5,"CUMPLE","NO CUMPLE")))</f>
        <v/>
      </c>
      <c r="G33" s="8" t="s">
        <v>150</v>
      </c>
      <c r="H33" s="13" t="str">
        <f>IF(COUNT(C33:C38)&lt;6,"",RSQ(C33:C38,B33:B38))</f>
        <v/>
      </c>
      <c r="I33" s="6" t="s">
        <v>43</v>
      </c>
      <c r="J33" s="5" t="str">
        <f t="shared" ref="J33:J38" si="4">IF(ISBLANK(J47),"",J47)</f>
        <v/>
      </c>
      <c r="K33" s="11" t="str">
        <f>IF(OR(ISBLANK(C33),J33="",J33=0),"",C33-J33)</f>
        <v/>
      </c>
    </row>
    <row r="34" spans="1:11" x14ac:dyDescent="0.3">
      <c r="A34" s="10" t="s">
        <v>44</v>
      </c>
      <c r="B34" s="12">
        <v>-24</v>
      </c>
      <c r="C34" s="5"/>
      <c r="D34" s="11" t="str">
        <f t="shared" si="3"/>
        <v/>
      </c>
      <c r="E34" s="4" t="s">
        <v>42</v>
      </c>
      <c r="F34" s="6" t="str">
        <f>IF(ISBLANK(C34),"",IF(J34="","SIN REFERENCIA",IF(ABS(C34-J34)&lt;=5,"CUMPLE","NO CUMPLE")))</f>
        <v/>
      </c>
      <c r="G34" s="8"/>
      <c r="H34" s="4"/>
      <c r="I34" s="6" t="str">
        <f>IF(COUNT(C33:C38)&lt;6,"",IF(COUNTIF(F33:F38,"NO CUMPLE")=0,"CUMPLE","NO CUMPLE"))</f>
        <v/>
      </c>
      <c r="J34" s="5" t="str">
        <f t="shared" si="4"/>
        <v/>
      </c>
      <c r="K34" s="11" t="str">
        <f>IF(OR(ISBLANK(C34),J34="",J34=0),"",C34-J34)</f>
        <v/>
      </c>
    </row>
    <row r="35" spans="1:11" x14ac:dyDescent="0.3">
      <c r="A35" s="10" t="s">
        <v>45</v>
      </c>
      <c r="B35" s="12">
        <v>0</v>
      </c>
      <c r="C35" s="5"/>
      <c r="D35" s="11" t="str">
        <f t="shared" si="3"/>
        <v/>
      </c>
      <c r="E35" s="4" t="s">
        <v>42</v>
      </c>
      <c r="F35" s="6" t="str">
        <f>IF(ISBLANK(C35),"",IF(ABS(C35)&lt;=5,"CUMPLE","NO CUMPLE"))</f>
        <v/>
      </c>
      <c r="G35" s="8" t="s">
        <v>46</v>
      </c>
      <c r="H35" s="13" t="str">
        <f>IF(COUNT(C33:C38)&lt;6,"",IF(AND(C33&lt;C34,C34&lt;C35,C35&lt;C36,C36&lt;C37,C37&lt;C38),"SÍ","NO"))</f>
        <v/>
      </c>
      <c r="I35" s="7"/>
      <c r="J35" s="5" t="str">
        <f t="shared" si="4"/>
        <v/>
      </c>
      <c r="K35" s="11"/>
    </row>
    <row r="36" spans="1:11" x14ac:dyDescent="0.3">
      <c r="A36" s="10" t="s">
        <v>47</v>
      </c>
      <c r="B36" s="12">
        <v>92</v>
      </c>
      <c r="C36" s="5"/>
      <c r="D36" s="11" t="str">
        <f t="shared" si="3"/>
        <v/>
      </c>
      <c r="E36" s="4" t="s">
        <v>42</v>
      </c>
      <c r="F36" s="6" t="str">
        <f>IF(ISBLANK(C36),"",IF(J36="","SIN REFERENCIA",IF(ABS(C36-J36)&lt;=5,"CUMPLE","NO CUMPLE")))</f>
        <v/>
      </c>
      <c r="G36" s="8" t="s">
        <v>48</v>
      </c>
      <c r="H36" s="22" t="str">
        <f>IF(COUNT(C33:C38)&lt;6,"",MAX(ABS(SMALL(C33:C38,1)-SMALL(B33:B38,1)),ABS(SMALL(C33:C38,2)-SMALL(B33:B38,2)),ABS(SMALL(C33:C38,3)-SMALL(B33:B38,3)),ABS(SMALL(C33:C38,4)-SMALL(B33:B38,4)),ABS(SMALL(C33:C38,5)-SMALL(B33:B38,5)),ABS(SMALL(C33:C38,6)-SMALL(B33:B38,6))))</f>
        <v/>
      </c>
      <c r="I36" s="7"/>
      <c r="J36" s="5" t="str">
        <f t="shared" si="4"/>
        <v/>
      </c>
      <c r="K36" s="11" t="str">
        <f>IF(OR(ISBLANK(C36),J36="",J36=0),"",C36-J36)</f>
        <v/>
      </c>
    </row>
    <row r="37" spans="1:11" x14ac:dyDescent="0.3">
      <c r="A37" s="10" t="s">
        <v>49</v>
      </c>
      <c r="B37" s="12">
        <v>102</v>
      </c>
      <c r="C37" s="5"/>
      <c r="D37" s="11" t="str">
        <f t="shared" si="3"/>
        <v/>
      </c>
      <c r="E37" s="4" t="s">
        <v>42</v>
      </c>
      <c r="F37" s="6" t="str">
        <f>IF(ISBLANK(C37),"",IF(J37="","SIN REFERENCIA",IF(ABS(C37-J37)&lt;=5,"CUMPLE","NO CUMPLE")))</f>
        <v/>
      </c>
      <c r="G37" s="8" t="s">
        <v>50</v>
      </c>
      <c r="H37" s="13" t="str">
        <f>COUNT(J33,J34,J36,J37,J38)&amp;" de 5"</f>
        <v>0 de 5</v>
      </c>
      <c r="I37" s="7"/>
      <c r="J37" s="5" t="str">
        <f t="shared" si="4"/>
        <v/>
      </c>
      <c r="K37" s="11" t="str">
        <f>IF(OR(ISBLANK(C37),J37="",J37=0),"",C37-J37)</f>
        <v/>
      </c>
    </row>
    <row r="38" spans="1:11" x14ac:dyDescent="0.3">
      <c r="A38" s="10" t="s">
        <v>51</v>
      </c>
      <c r="B38" s="12">
        <v>120</v>
      </c>
      <c r="C38" s="5"/>
      <c r="D38" s="11" t="str">
        <f t="shared" si="3"/>
        <v/>
      </c>
      <c r="E38" s="4" t="s">
        <v>42</v>
      </c>
      <c r="F38" s="6" t="str">
        <f>IF(ISBLANK(C38),"",IF(J38="","SIN REFERENCIA",IF(ABS(C38-J38)&lt;=5,"CUMPLE","NO CUMPLE")))</f>
        <v/>
      </c>
      <c r="G38" s="7"/>
      <c r="H38" s="7"/>
      <c r="I38" s="7"/>
      <c r="J38" s="5" t="str">
        <f t="shared" si="4"/>
        <v/>
      </c>
      <c r="K38" s="11" t="str">
        <f>IF(OR(ISBLANK(C38),J38="",J38=0),"",C38-J38)</f>
        <v/>
      </c>
    </row>
    <row r="39" spans="1:11" x14ac:dyDescent="0.3">
      <c r="A39" s="26" t="s">
        <v>53</v>
      </c>
      <c r="B39" s="24"/>
      <c r="C39" s="24"/>
      <c r="D39" s="24"/>
      <c r="E39" s="24"/>
      <c r="F39" s="24"/>
      <c r="G39" s="24"/>
      <c r="H39" s="24"/>
      <c r="I39" s="25"/>
    </row>
    <row r="40" spans="1:11" x14ac:dyDescent="0.3">
      <c r="A40" s="10" t="s">
        <v>41</v>
      </c>
      <c r="B40" s="12">
        <v>-92</v>
      </c>
      <c r="C40" s="5"/>
      <c r="D40" s="11" t="str">
        <f t="shared" ref="D40:D45" si="5">IF(ISBLANK(C40),"",C40-B40)</f>
        <v/>
      </c>
      <c r="E40" s="4" t="s">
        <v>42</v>
      </c>
      <c r="F40" s="6" t="str">
        <f>IF(ISBLANK(C40),"",IF(J40="","SIN REFERENCIA",IF(ABS(C40-J40)&lt;=5,"CUMPLE","NO CUMPLE")))</f>
        <v/>
      </c>
      <c r="G40" s="8" t="s">
        <v>150</v>
      </c>
      <c r="H40" s="13" t="str">
        <f>IF(COUNT(C40:C45)&lt;6,"",RSQ(C40:C45,B40:B45))</f>
        <v/>
      </c>
      <c r="I40" s="6" t="s">
        <v>43</v>
      </c>
      <c r="J40" s="5" t="str">
        <f t="shared" ref="J40:J45" si="6">IF(ISBLANK(J47),"",J47)</f>
        <v/>
      </c>
      <c r="K40" s="11" t="str">
        <f>IF(OR(ISBLANK(C40),J40="",J40=0),"",C40-J40)</f>
        <v/>
      </c>
    </row>
    <row r="41" spans="1:11" x14ac:dyDescent="0.3">
      <c r="A41" s="10" t="s">
        <v>44</v>
      </c>
      <c r="B41" s="12">
        <v>-24</v>
      </c>
      <c r="C41" s="5"/>
      <c r="D41" s="11" t="str">
        <f t="shared" si="5"/>
        <v/>
      </c>
      <c r="E41" s="4" t="s">
        <v>42</v>
      </c>
      <c r="F41" s="6" t="str">
        <f>IF(ISBLANK(C41),"",IF(J41="","SIN REFERENCIA",IF(ABS(C41-J41)&lt;=5,"CUMPLE","NO CUMPLE")))</f>
        <v/>
      </c>
      <c r="G41" s="8"/>
      <c r="H41" s="4"/>
      <c r="I41" s="6" t="str">
        <f>IF(COUNT(C40:C45)&lt;6,"",IF(COUNTIF(F40:F45,"NO CUMPLE")=0,"CUMPLE","NO CUMPLE"))</f>
        <v/>
      </c>
      <c r="J41" s="5" t="str">
        <f t="shared" si="6"/>
        <v/>
      </c>
      <c r="K41" s="11" t="str">
        <f>IF(OR(ISBLANK(C41),J41="",J41=0),"",C41-J41)</f>
        <v/>
      </c>
    </row>
    <row r="42" spans="1:11" x14ac:dyDescent="0.3">
      <c r="A42" s="10" t="s">
        <v>45</v>
      </c>
      <c r="B42" s="12">
        <v>0</v>
      </c>
      <c r="C42" s="5"/>
      <c r="D42" s="11" t="str">
        <f t="shared" si="5"/>
        <v/>
      </c>
      <c r="E42" s="4" t="s">
        <v>42</v>
      </c>
      <c r="F42" s="6" t="str">
        <f>IF(ISBLANK(C42),"",IF(ABS(C42)&lt;=5,"CUMPLE","NO CUMPLE"))</f>
        <v/>
      </c>
      <c r="G42" s="8" t="s">
        <v>46</v>
      </c>
      <c r="H42" s="13" t="str">
        <f>IF(COUNT(C40:C45)&lt;6,"",IF(AND(C40&lt;C41,C41&lt;C42,C42&lt;C43,C43&lt;C44,C44&lt;C45),"SÍ","NO"))</f>
        <v/>
      </c>
      <c r="I42" s="7"/>
      <c r="J42" s="5" t="str">
        <f t="shared" si="6"/>
        <v/>
      </c>
      <c r="K42" s="11"/>
    </row>
    <row r="43" spans="1:11" x14ac:dyDescent="0.3">
      <c r="A43" s="10" t="s">
        <v>47</v>
      </c>
      <c r="B43" s="12">
        <v>92</v>
      </c>
      <c r="C43" s="5"/>
      <c r="D43" s="11" t="str">
        <f t="shared" si="5"/>
        <v/>
      </c>
      <c r="E43" s="4" t="s">
        <v>42</v>
      </c>
      <c r="F43" s="6" t="str">
        <f>IF(ISBLANK(C43),"",IF(J43="","SIN REFERENCIA",IF(ABS(C43-J43)&lt;=5,"CUMPLE","NO CUMPLE")))</f>
        <v/>
      </c>
      <c r="G43" s="8" t="s">
        <v>48</v>
      </c>
      <c r="H43" s="22" t="str">
        <f>IF(COUNT(C40:C45)&lt;6,"",MAX(ABS(SMALL(C40:C45,1)-SMALL(B40:B45,1)),ABS(SMALL(C40:C45,2)-SMALL(B40:B45,2)),ABS(SMALL(C40:C45,3)-SMALL(B40:B45,3)),ABS(SMALL(C40:C45,4)-SMALL(B40:B45,4)),ABS(SMALL(C40:C45,5)-SMALL(B40:B45,5)),ABS(SMALL(C40:C45,6)-SMALL(B40:B45,6))))</f>
        <v/>
      </c>
      <c r="I43" s="7"/>
      <c r="J43" s="5" t="str">
        <f t="shared" si="6"/>
        <v/>
      </c>
      <c r="K43" s="11" t="str">
        <f>IF(OR(ISBLANK(C43),J43="",J43=0),"",C43-J43)</f>
        <v/>
      </c>
    </row>
    <row r="44" spans="1:11" x14ac:dyDescent="0.3">
      <c r="A44" s="10" t="s">
        <v>49</v>
      </c>
      <c r="B44" s="12">
        <v>102</v>
      </c>
      <c r="C44" s="5"/>
      <c r="D44" s="11" t="str">
        <f t="shared" si="5"/>
        <v/>
      </c>
      <c r="E44" s="4" t="s">
        <v>42</v>
      </c>
      <c r="F44" s="6" t="str">
        <f>IF(ISBLANK(C44),"",IF(J44="","SIN REFERENCIA",IF(ABS(C44-J44)&lt;=5,"CUMPLE","NO CUMPLE")))</f>
        <v/>
      </c>
      <c r="G44" s="8" t="s">
        <v>50</v>
      </c>
      <c r="H44" s="13" t="str">
        <f>COUNT(J40,J41,J43,J44,J45)&amp;" de 5"</f>
        <v>0 de 5</v>
      </c>
      <c r="I44" s="7"/>
      <c r="J44" s="5" t="str">
        <f t="shared" si="6"/>
        <v/>
      </c>
      <c r="K44" s="11" t="str">
        <f>IF(OR(ISBLANK(C44),J44="",J44=0),"",C44-J44)</f>
        <v/>
      </c>
    </row>
    <row r="45" spans="1:11" x14ac:dyDescent="0.3">
      <c r="A45" s="10" t="s">
        <v>51</v>
      </c>
      <c r="B45" s="12">
        <v>120</v>
      </c>
      <c r="C45" s="5"/>
      <c r="D45" s="11" t="str">
        <f t="shared" si="5"/>
        <v/>
      </c>
      <c r="E45" s="4" t="s">
        <v>42</v>
      </c>
      <c r="F45" s="6" t="str">
        <f>IF(ISBLANK(C45),"",IF(J45="","SIN REFERENCIA",IF(ABS(C45-J45)&lt;=5,"CUMPLE","NO CUMPLE")))</f>
        <v/>
      </c>
      <c r="G45" s="7"/>
      <c r="H45" s="7"/>
      <c r="I45" s="7"/>
      <c r="J45" s="5" t="str">
        <f t="shared" si="6"/>
        <v/>
      </c>
      <c r="K45" s="11" t="str">
        <f>IF(OR(ISBLANK(C45),J45="",J45=0),"",C45-J45)</f>
        <v/>
      </c>
    </row>
    <row r="46" spans="1:11" x14ac:dyDescent="0.3">
      <c r="A46" s="26" t="s">
        <v>54</v>
      </c>
      <c r="B46" s="24"/>
      <c r="C46" s="24"/>
      <c r="D46" s="24"/>
      <c r="E46" s="24"/>
      <c r="F46" s="24"/>
      <c r="G46" s="24"/>
      <c r="H46" s="24"/>
      <c r="I46" s="25"/>
    </row>
    <row r="47" spans="1:11" x14ac:dyDescent="0.3">
      <c r="A47" s="10" t="s">
        <v>41</v>
      </c>
      <c r="B47" s="12">
        <v>-92</v>
      </c>
      <c r="C47" s="5" t="str">
        <f>IF(COUNT(C26,C33,C40)=0,"",AVERAGE(C26,C33,C40))</f>
        <v/>
      </c>
      <c r="D47" s="11" t="str">
        <f>IF(C47="","",C47-B47)</f>
        <v/>
      </c>
      <c r="E47" s="4" t="s">
        <v>42</v>
      </c>
      <c r="F47" s="6" t="str">
        <f>IF(C47="","",IF(J47="","SIN REFERENCIA",IF(ABS(C47-J47)&lt;=5,"CUMPLE","NO CUMPLE")))</f>
        <v/>
      </c>
      <c r="G47" s="8" t="s">
        <v>150</v>
      </c>
      <c r="H47" s="13" t="str">
        <f>IF(COUNT(C47:C52)&lt;6,"",RSQ(C47:C52,B47:B52))</f>
        <v/>
      </c>
      <c r="I47" s="6" t="s">
        <v>43</v>
      </c>
      <c r="J47" s="5"/>
      <c r="K47" s="11" t="str">
        <f>IF(OR(C47="",J47="",J47=0),"",C47-J47)</f>
        <v/>
      </c>
    </row>
    <row r="48" spans="1:11" x14ac:dyDescent="0.3">
      <c r="A48" s="10" t="s">
        <v>44</v>
      </c>
      <c r="B48" s="12">
        <v>-24</v>
      </c>
      <c r="C48" s="5" t="str">
        <f>IF(COUNT(C27,C34,C41)=0,"",AVERAGE(C27,C34,C41))</f>
        <v/>
      </c>
      <c r="D48" s="11" t="str">
        <f>IF(C48="","",C48-B48)</f>
        <v/>
      </c>
      <c r="E48" s="4" t="s">
        <v>42</v>
      </c>
      <c r="F48" s="6" t="str">
        <f>IF(C48="","",IF(J48="","SIN REFERENCIA",IF(ABS(C48-J48)&lt;=5,"CUMPLE","NO CUMPLE")))</f>
        <v/>
      </c>
      <c r="G48" s="8"/>
      <c r="H48" s="4"/>
      <c r="I48" s="6" t="str">
        <f>IF(COUNT(C47:C52)&lt;6,"",IF(COUNTIF(F47:F52,"NO CUMPLE")=0,"CUMPLE","NO CUMPLE"))</f>
        <v/>
      </c>
      <c r="J48" s="5"/>
      <c r="K48" s="11" t="str">
        <f>IF(OR(C48="",J48="",J48=0),"",C48-J48)</f>
        <v/>
      </c>
    </row>
    <row r="49" spans="1:11" x14ac:dyDescent="0.3">
      <c r="A49" s="10" t="s">
        <v>45</v>
      </c>
      <c r="B49" s="12">
        <v>0</v>
      </c>
      <c r="C49" s="5" t="str">
        <f>IF(COUNT(C28,C35,C42)=0,"",AVERAGE(C28,C35,C42))</f>
        <v/>
      </c>
      <c r="D49" s="11" t="str">
        <f>IF(C49="","",C49-B49)</f>
        <v/>
      </c>
      <c r="E49" s="4" t="s">
        <v>42</v>
      </c>
      <c r="F49" s="6" t="str">
        <f>IF(C49="","",IF(ABS(C49)&lt;=5,"CUMPLE","NO CUMPLE"))</f>
        <v/>
      </c>
      <c r="G49" s="8" t="s">
        <v>46</v>
      </c>
      <c r="H49" s="13" t="str">
        <f>IF(COUNT(C47:C52)&lt;6,"",IF(AND(C47&lt;C48,C48&lt;C49,C49&lt;C50,C50&lt;C51,C51&lt;C52),"SÍ","NO"))</f>
        <v/>
      </c>
      <c r="I49" s="7"/>
      <c r="J49" s="5"/>
      <c r="K49" s="11"/>
    </row>
    <row r="50" spans="1:11" x14ac:dyDescent="0.3">
      <c r="A50" s="10" t="s">
        <v>47</v>
      </c>
      <c r="B50" s="12">
        <v>92</v>
      </c>
      <c r="C50" s="5" t="str">
        <f>IF(COUNT(C29,C36,C43)=0,"",AVERAGE(C29,C36,C43))</f>
        <v/>
      </c>
      <c r="D50" s="11" t="str">
        <f>IF(C50="","",C50-B50)</f>
        <v/>
      </c>
      <c r="E50" s="4" t="s">
        <v>42</v>
      </c>
      <c r="F50" s="6" t="str">
        <f>IF(C50="","",IF(J50="","SIN REFERENCIA",IF(ABS(C50-J50)&lt;=5,"CUMPLE","NO CUMPLE")))</f>
        <v/>
      </c>
      <c r="G50" s="8" t="s">
        <v>48</v>
      </c>
      <c r="H50" s="22" t="str">
        <f>IF(COUNT(C47:C52)&lt;6,"",MAX(ABS(SMALL(C47:C52,1)-SMALL(B47:B52,1)),ABS(SMALL(C47:C52,2)-SMALL(B47:B52,2)),ABS(SMALL(C47:C52,3)-SMALL(B47:B52,3)),ABS(SMALL(C47:C52,4)-SMALL(B47:B52,4)),ABS(SMALL(C47:C52,5)-SMALL(B47:B52,5)),ABS(SMALL(C47:C52,6)-SMALL(B47:B52,6))))</f>
        <v/>
      </c>
      <c r="I50" s="7"/>
      <c r="J50" s="5"/>
      <c r="K50" s="11" t="str">
        <f>IF(OR(C50="",J50="",J50=0),"",C50-J50)</f>
        <v/>
      </c>
    </row>
    <row r="51" spans="1:11" x14ac:dyDescent="0.3">
      <c r="A51" s="10" t="s">
        <v>49</v>
      </c>
      <c r="B51" s="12">
        <v>102</v>
      </c>
      <c r="C51" s="5" t="str">
        <f>IF(COUNT(C30,C37,C44)=0,"",AVERAGE(C30,C37,C44))</f>
        <v/>
      </c>
      <c r="D51" s="11" t="str">
        <f>IF(C51="","",C51-B51)</f>
        <v/>
      </c>
      <c r="E51" s="4" t="s">
        <v>42</v>
      </c>
      <c r="F51" s="6" t="str">
        <f>IF(C51="","",IF(J51="","SIN REFERENCIA",IF(ABS(C51-J51)&lt;=5,"CUMPLE","NO CUMPLE")))</f>
        <v/>
      </c>
      <c r="G51" s="8" t="s">
        <v>50</v>
      </c>
      <c r="H51" s="13" t="str">
        <f>COUNT(J47,J48,J50,J51,J52)&amp;" de 5"</f>
        <v>0 de 5</v>
      </c>
      <c r="I51" s="7"/>
      <c r="J51" s="5"/>
      <c r="K51" s="11" t="str">
        <f>IF(OR(C51="",J51="",J51=0),"",C51-J51)</f>
        <v/>
      </c>
    </row>
    <row r="52" spans="1:11" x14ac:dyDescent="0.3">
      <c r="A52" s="10" t="s">
        <v>51</v>
      </c>
      <c r="B52" s="12">
        <v>120</v>
      </c>
      <c r="C52" s="5" t="str">
        <f>IF(COUNT(C31,C38,C45)=0,"",AVERAGE(C31,C38,C45))</f>
        <v/>
      </c>
      <c r="D52" s="11" t="str">
        <f>IF(C52="","",C52-B52)</f>
        <v/>
      </c>
      <c r="E52" s="4" t="s">
        <v>42</v>
      </c>
      <c r="F52" s="6" t="str">
        <f>IF(C52="","",IF(J52="","SIN REFERENCIA",IF(ABS(C52-J52)&lt;=5,"CUMPLE","NO CUMPLE")))</f>
        <v/>
      </c>
      <c r="G52" s="7"/>
      <c r="H52" s="7"/>
      <c r="I52" s="7"/>
      <c r="J52" s="5"/>
      <c r="K52" s="11" t="str">
        <f>IF(OR(C52="",J52="",J52=0),"",C52-J52)</f>
        <v/>
      </c>
    </row>
    <row r="53" spans="1:11" ht="42" customHeight="1" x14ac:dyDescent="0.3">
      <c r="A53" s="29" t="s">
        <v>151</v>
      </c>
      <c r="B53" s="28"/>
      <c r="C53" s="28"/>
      <c r="D53" s="28"/>
      <c r="E53" s="28"/>
      <c r="F53" s="28"/>
      <c r="G53" s="28"/>
      <c r="H53" s="28"/>
      <c r="I53" s="28"/>
    </row>
    <row r="55" spans="1:11" x14ac:dyDescent="0.3">
      <c r="A55" s="23" t="s">
        <v>55</v>
      </c>
      <c r="B55" s="24"/>
      <c r="C55" s="24"/>
      <c r="D55" s="24"/>
      <c r="E55" s="24"/>
      <c r="F55" s="24"/>
      <c r="G55" s="24"/>
      <c r="H55" s="24"/>
      <c r="I55" s="25"/>
    </row>
    <row r="56" spans="1:11" ht="28.8" customHeight="1" x14ac:dyDescent="0.3">
      <c r="A56" s="3" t="s">
        <v>56</v>
      </c>
      <c r="B56" s="3" t="s">
        <v>179</v>
      </c>
      <c r="C56" s="3" t="s">
        <v>57</v>
      </c>
      <c r="D56" s="3" t="s">
        <v>152</v>
      </c>
      <c r="E56" s="3" t="s">
        <v>58</v>
      </c>
      <c r="F56" s="3" t="s">
        <v>59</v>
      </c>
      <c r="G56" s="3" t="s">
        <v>24</v>
      </c>
      <c r="H56" s="3" t="s">
        <v>24</v>
      </c>
      <c r="I56" s="3" t="s">
        <v>10</v>
      </c>
    </row>
    <row r="57" spans="1:11" ht="43.2" customHeight="1" x14ac:dyDescent="0.3">
      <c r="A57" s="10" t="s">
        <v>60</v>
      </c>
      <c r="B57" s="5"/>
      <c r="C57" s="5"/>
      <c r="D57" s="11" t="str">
        <f>IF(ISBLANK(B57),"",5/B57)</f>
        <v/>
      </c>
      <c r="E57" s="4" t="str">
        <f>IF(B59="SÍ","≥ 6 pl/cm (protocolo de tórax)","≥ 5 pl/cm (protocolos distintos de tórax)")</f>
        <v>≥ 5 pl/cm (protocolos distintos de tórax)</v>
      </c>
      <c r="F57" s="6" t="str">
        <f>IF(ISBLANK(B57),"",IF(D57&gt;=IF(B59="SÍ",6,5),"CUMPLE","NO CUMPLE"))</f>
        <v/>
      </c>
      <c r="G57" s="7"/>
      <c r="H57" s="7"/>
      <c r="I57" s="7"/>
    </row>
    <row r="58" spans="1:11" ht="28.8" customHeight="1" x14ac:dyDescent="0.3">
      <c r="A58" s="10" t="s">
        <v>153</v>
      </c>
      <c r="B58" s="5"/>
      <c r="C58" s="5"/>
      <c r="D58" s="4" t="s">
        <v>61</v>
      </c>
      <c r="E58" s="4" t="s">
        <v>62</v>
      </c>
      <c r="F58" s="6" t="str">
        <f>IF(ISBLANK(B58),"","MEDIDO")</f>
        <v/>
      </c>
      <c r="G58" s="7"/>
      <c r="H58" s="7"/>
      <c r="I58" s="7"/>
    </row>
    <row r="59" spans="1:11" x14ac:dyDescent="0.3">
      <c r="A59" s="8" t="s">
        <v>154</v>
      </c>
      <c r="B59" s="16" t="s">
        <v>155</v>
      </c>
    </row>
    <row r="60" spans="1:11" x14ac:dyDescent="0.3">
      <c r="A60" s="23" t="s">
        <v>63</v>
      </c>
      <c r="B60" s="24"/>
      <c r="C60" s="24"/>
      <c r="D60" s="24"/>
      <c r="E60" s="24"/>
      <c r="F60" s="24"/>
      <c r="G60" s="24"/>
      <c r="H60" s="24"/>
      <c r="I60" s="25"/>
    </row>
    <row r="61" spans="1:11" x14ac:dyDescent="0.3">
      <c r="A61" s="3" t="s">
        <v>64</v>
      </c>
      <c r="B61" s="3" t="s">
        <v>65</v>
      </c>
      <c r="C61" s="3" t="s">
        <v>66</v>
      </c>
      <c r="D61" s="3" t="s">
        <v>58</v>
      </c>
      <c r="E61" s="3" t="s">
        <v>67</v>
      </c>
      <c r="F61" s="3" t="s">
        <v>24</v>
      </c>
      <c r="G61" s="3" t="s">
        <v>24</v>
      </c>
      <c r="H61" s="3" t="s">
        <v>24</v>
      </c>
      <c r="I61" s="3" t="s">
        <v>68</v>
      </c>
    </row>
    <row r="62" spans="1:11" ht="28.8" customHeight="1" x14ac:dyDescent="0.3">
      <c r="A62" s="10" t="s">
        <v>69</v>
      </c>
      <c r="B62" s="4" t="s">
        <v>61</v>
      </c>
      <c r="C62" s="4" t="s">
        <v>61</v>
      </c>
      <c r="D62" s="4" t="s">
        <v>70</v>
      </c>
      <c r="E62" s="14" t="s">
        <v>71</v>
      </c>
      <c r="F62" s="7"/>
      <c r="G62" s="7"/>
      <c r="H62" s="7"/>
      <c r="I62" s="15" t="s">
        <v>72</v>
      </c>
    </row>
    <row r="64" spans="1:11" x14ac:dyDescent="0.3">
      <c r="A64" s="23" t="s">
        <v>73</v>
      </c>
      <c r="B64" s="24"/>
      <c r="C64" s="24"/>
      <c r="D64" s="24"/>
      <c r="E64" s="24"/>
      <c r="F64" s="24"/>
      <c r="G64" s="24"/>
      <c r="H64" s="24"/>
      <c r="I64" s="25"/>
    </row>
    <row r="65" spans="1:9" ht="28.8" customHeight="1" x14ac:dyDescent="0.3">
      <c r="A65" s="3" t="s">
        <v>74</v>
      </c>
      <c r="B65" s="3" t="s">
        <v>75</v>
      </c>
      <c r="C65" s="3" t="s">
        <v>156</v>
      </c>
      <c r="D65" s="3" t="s">
        <v>157</v>
      </c>
      <c r="E65" s="3" t="s">
        <v>76</v>
      </c>
      <c r="F65" s="3" t="s">
        <v>77</v>
      </c>
      <c r="G65" s="3" t="s">
        <v>78</v>
      </c>
      <c r="H65" s="3" t="s">
        <v>158</v>
      </c>
      <c r="I65" s="3" t="s">
        <v>24</v>
      </c>
    </row>
    <row r="66" spans="1:9" x14ac:dyDescent="0.3">
      <c r="A66" s="4" t="s">
        <v>79</v>
      </c>
      <c r="B66" s="11">
        <f>$B$69</f>
        <v>5</v>
      </c>
      <c r="C66" s="5"/>
      <c r="D66" s="11" t="str">
        <f>IF(ISBLANK(C66),"",C66*TAN(RADIANS(45)))</f>
        <v/>
      </c>
      <c r="E66" s="4" t="str">
        <f>IF(B66&gt;2,"± 1.0 mm",IF(B66&gt;1,"± 50 %","&lt; nominal + 0.5 mm"))</f>
        <v>± 1.0 mm</v>
      </c>
      <c r="F66" s="6" t="str">
        <f>IF(D66="","",IF(B66&gt;2,IF(ABS(D66-B66)&lt;=1,"CUMPLE","NO CUMPLE"),IF(B66&gt;1,IF(AND(D66&gt;=0.5*B66,D66&lt;=1.5*B66),"CUMPLE","NO CUMPLE"),IF(D66&lt;B66+0.5,"CUMPLE","NO CUMPLE"))))</f>
        <v/>
      </c>
      <c r="G66" s="7"/>
      <c r="H66" s="7"/>
      <c r="I66" s="7"/>
    </row>
    <row r="67" spans="1:9" x14ac:dyDescent="0.3">
      <c r="A67" s="4" t="s">
        <v>80</v>
      </c>
      <c r="B67" s="11">
        <f>$B$69</f>
        <v>5</v>
      </c>
      <c r="C67" s="5"/>
      <c r="D67" s="11" t="str">
        <f>IF(ISBLANK(C67),"",C67*TAN(RADIANS(45)))</f>
        <v/>
      </c>
      <c r="E67" s="4" t="str">
        <f>IF(B67&gt;2,"± 1.0 mm",IF(B67&gt;1,"± 50 %","&lt; nominal + 0.5 mm"))</f>
        <v>± 1.0 mm</v>
      </c>
      <c r="F67" s="6" t="str">
        <f>IF(D67="","",IF(B67&gt;2,IF(ABS(D67-B67)&lt;=1,"CUMPLE","NO CUMPLE"),IF(B67&gt;1,IF(AND(D67&gt;=0.5*B67,D67&lt;=1.5*B67),"CUMPLE","NO CUMPLE"),IF(D67&lt;B67+0.5,"CUMPLE","NO CUMPLE"))))</f>
        <v/>
      </c>
      <c r="G67" s="7"/>
      <c r="H67" s="7"/>
      <c r="I67" s="7"/>
    </row>
    <row r="68" spans="1:9" x14ac:dyDescent="0.3">
      <c r="A68" s="4" t="s">
        <v>81</v>
      </c>
      <c r="B68" s="11">
        <f>$B$69</f>
        <v>5</v>
      </c>
      <c r="C68" s="5"/>
      <c r="D68" s="11" t="str">
        <f>IF(ISBLANK(C68),"",C68*TAN(RADIANS(45)))</f>
        <v/>
      </c>
      <c r="E68" s="4" t="str">
        <f>IF(B68&gt;2,"± 1.0 mm",IF(B68&gt;1,"± 50 %","&lt; nominal + 0.5 mm"))</f>
        <v>± 1.0 mm</v>
      </c>
      <c r="F68" s="6" t="str">
        <f>IF(D68="","",IF(B68&gt;2,IF(ABS(D68-B68)&lt;=1,"CUMPLE","NO CUMPLE"),IF(B68&gt;1,IF(AND(D68&gt;=0.5*B68,D68&lt;=1.5*B68),"CUMPLE","NO CUMPLE"),IF(D68&lt;B68+0.5,"CUMPLE","NO CUMPLE"))))</f>
        <v/>
      </c>
      <c r="G68" s="7"/>
      <c r="H68" s="7"/>
      <c r="I68" s="7"/>
    </row>
    <row r="69" spans="1:9" x14ac:dyDescent="0.3">
      <c r="A69" s="8" t="s">
        <v>82</v>
      </c>
      <c r="B69" s="16">
        <v>5</v>
      </c>
      <c r="C69" s="8" t="s">
        <v>83</v>
      </c>
      <c r="D69" s="9" t="str">
        <f>IF(COUNT(D66:D68)=0,"",AVERAGE(D66:D68))</f>
        <v/>
      </c>
      <c r="E69" s="6" t="s">
        <v>84</v>
      </c>
      <c r="F69" s="6" t="str">
        <f>IF(COUNT(D66:D68)&lt;3,"",IF(AND(COUNTIF(F66:F68,"CUMPLE")=3,IF(B69&gt;2,ABS(D69-B69)&lt;=1,IF(B69&gt;1,AND(D69&gt;=0.5*B69,D69&lt;=1.5*B69),D69&lt;B69+0.5))),"CUMPLE","NO CUMPLE"))</f>
        <v/>
      </c>
      <c r="G69" s="9" t="str">
        <f>IF(COUNT(D66:D68)&lt;3,"",MAX(D66:D68)-MIN(D66:D68))</f>
        <v/>
      </c>
      <c r="H69" s="4" t="s">
        <v>159</v>
      </c>
      <c r="I69" s="6"/>
    </row>
    <row r="70" spans="1:9" ht="30" customHeight="1" x14ac:dyDescent="0.3">
      <c r="A70" s="29" t="s">
        <v>160</v>
      </c>
      <c r="B70" s="28"/>
      <c r="C70" s="28"/>
      <c r="D70" s="28"/>
      <c r="E70" s="28"/>
      <c r="F70" s="28"/>
      <c r="G70" s="28"/>
      <c r="H70" s="28"/>
      <c r="I70" s="28"/>
    </row>
    <row r="71" spans="1:9" x14ac:dyDescent="0.3">
      <c r="A71" s="23" t="s">
        <v>85</v>
      </c>
      <c r="B71" s="24"/>
      <c r="C71" s="24"/>
      <c r="D71" s="24"/>
      <c r="E71" s="24"/>
      <c r="F71" s="24"/>
      <c r="G71" s="24"/>
      <c r="H71" s="24"/>
      <c r="I71" s="25"/>
    </row>
    <row r="72" spans="1:9" ht="28.8" x14ac:dyDescent="0.3">
      <c r="A72" s="3" t="s">
        <v>64</v>
      </c>
      <c r="B72" s="3" t="s">
        <v>161</v>
      </c>
      <c r="C72" s="3" t="s">
        <v>86</v>
      </c>
      <c r="D72" s="3" t="s">
        <v>87</v>
      </c>
      <c r="E72" s="3" t="s">
        <v>88</v>
      </c>
      <c r="F72" s="3" t="s">
        <v>89</v>
      </c>
      <c r="G72" s="3" t="s">
        <v>24</v>
      </c>
      <c r="H72" s="3" t="s">
        <v>24</v>
      </c>
      <c r="I72" s="3" t="s">
        <v>90</v>
      </c>
    </row>
    <row r="73" spans="1:9" x14ac:dyDescent="0.3">
      <c r="A73" s="10" t="s">
        <v>91</v>
      </c>
      <c r="B73" s="17">
        <v>214</v>
      </c>
      <c r="C73" s="5"/>
      <c r="D73" s="11" t="str">
        <f>IF(ISBLANK(C73),"",(ABS(C73-B73)/B73)*100)</f>
        <v/>
      </c>
      <c r="E73" s="4" t="s">
        <v>92</v>
      </c>
      <c r="F73" s="6" t="str">
        <f>IF(ISBLANK(C73),"",IF(D73&lt;2,"CUMPLE","NO CUMPLE"))</f>
        <v/>
      </c>
      <c r="G73" s="7"/>
      <c r="H73" s="7"/>
      <c r="I73" s="15" t="str">
        <f>IF(F73="NO CUMPLE","VERIFICAR DICOM Pixel Spacing (0028,0030) antes de validar espesor/resolución","OK")</f>
        <v>OK</v>
      </c>
    </row>
    <row r="74" spans="1:9" x14ac:dyDescent="0.3">
      <c r="A74" t="s">
        <v>162</v>
      </c>
    </row>
  </sheetData>
  <mergeCells count="16">
    <mergeCell ref="A71:I71"/>
    <mergeCell ref="A60:I60"/>
    <mergeCell ref="A32:I32"/>
    <mergeCell ref="A46:I46"/>
    <mergeCell ref="A1:I1"/>
    <mergeCell ref="A23:I23"/>
    <mergeCell ref="A70:I70"/>
    <mergeCell ref="A6:I6"/>
    <mergeCell ref="A53:I53"/>
    <mergeCell ref="A55:I55"/>
    <mergeCell ref="A39:I39"/>
    <mergeCell ref="A14:C14"/>
    <mergeCell ref="A15:I15"/>
    <mergeCell ref="A64:I64"/>
    <mergeCell ref="A25:I25"/>
    <mergeCell ref="A2:I2"/>
  </mergeCells>
  <dataValidations count="1">
    <dataValidation type="list" allowBlank="1" showInputMessage="1" showErrorMessage="1" sqref="B59" xr:uid="{7261805A-BEA9-4253-A50E-4D482B46487E}">
      <mc:AlternateContent xmlns:x12ac="http://schemas.microsoft.com/office/spreadsheetml/2011/1/ac" xmlns:mc="http://schemas.openxmlformats.org/markup-compatibility/2006">
        <mc:Choice Requires="x12ac">
          <x12ac:list>"SÍ,NO"</x12ac:list>
        </mc:Choice>
        <mc:Fallback>
          <formula1>"SÍ,NO"</formula1>
        </mc:Fallback>
      </mc:AlternateContent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/>
  </sheetViews>
  <sheetFormatPr defaultColWidth="8.88671875" defaultRowHeight="14.4" x14ac:dyDescent="0.3"/>
  <cols>
    <col min="1" max="1" width="34" customWidth="1"/>
    <col min="2" max="2" width="20" customWidth="1"/>
    <col min="3" max="3" width="22" customWidth="1"/>
    <col min="4" max="4" width="18" customWidth="1"/>
    <col min="5" max="5" width="16" customWidth="1"/>
    <col min="6" max="6" width="45" customWidth="1"/>
  </cols>
  <sheetData>
    <row r="1" spans="1:6" x14ac:dyDescent="0.3">
      <c r="A1" s="27" t="s">
        <v>93</v>
      </c>
      <c r="B1" s="28"/>
      <c r="C1" s="28"/>
      <c r="D1" s="28"/>
      <c r="E1" s="28"/>
      <c r="F1" s="28"/>
    </row>
    <row r="3" spans="1:6" ht="28.8" customHeight="1" x14ac:dyDescent="0.3">
      <c r="A3" s="3" t="s">
        <v>94</v>
      </c>
      <c r="B3" s="3" t="s">
        <v>95</v>
      </c>
      <c r="C3" s="3" t="s">
        <v>96</v>
      </c>
      <c r="D3" s="3" t="s">
        <v>97</v>
      </c>
      <c r="E3" s="3" t="s">
        <v>98</v>
      </c>
      <c r="F3" s="3" t="s">
        <v>99</v>
      </c>
    </row>
    <row r="4" spans="1:6" x14ac:dyDescent="0.3">
      <c r="A4" s="10" t="s">
        <v>100</v>
      </c>
      <c r="B4" s="18" t="str">
        <f>Registro_QC_CT!B13</f>
        <v/>
      </c>
      <c r="C4" s="4" t="s">
        <v>12</v>
      </c>
      <c r="D4" s="6" t="str">
        <f>Registro_QC_CT!G13</f>
        <v/>
      </c>
      <c r="E4" s="4" t="s">
        <v>101</v>
      </c>
      <c r="F4" s="10" t="s">
        <v>102</v>
      </c>
    </row>
    <row r="5" spans="1:6" x14ac:dyDescent="0.3">
      <c r="A5" s="10" t="s">
        <v>163</v>
      </c>
      <c r="B5" s="5" t="str">
        <f>Registro_QC_CT!D13</f>
        <v/>
      </c>
      <c r="C5" s="4" t="s">
        <v>141</v>
      </c>
      <c r="D5" s="6" t="str">
        <f>Registro_QC_CT!H13</f>
        <v/>
      </c>
      <c r="E5" s="4" t="s">
        <v>101</v>
      </c>
      <c r="F5" s="10" t="s">
        <v>103</v>
      </c>
    </row>
    <row r="6" spans="1:6" x14ac:dyDescent="0.3">
      <c r="A6" s="10" t="s">
        <v>104</v>
      </c>
      <c r="B6" s="5">
        <f>Registro_QC_CT!F18</f>
        <v>0</v>
      </c>
      <c r="C6" s="4" t="s">
        <v>26</v>
      </c>
      <c r="D6" s="6" t="str">
        <f>Registro_QC_CT!G18</f>
        <v/>
      </c>
      <c r="E6" s="4" t="s">
        <v>101</v>
      </c>
      <c r="F6" s="10" t="s">
        <v>105</v>
      </c>
    </row>
    <row r="7" spans="1:6" ht="28.8" x14ac:dyDescent="0.3">
      <c r="A7" s="10" t="s">
        <v>164</v>
      </c>
      <c r="B7" s="5" t="str">
        <f>IF(COUNT(Registro_QC_CT!K47:K52)=0,"",MAX(MAX(Registro_QC_CT!K47:K52),-MIN(Registro_QC_CT!K47:K52)))</f>
        <v/>
      </c>
      <c r="C7" s="4" t="s">
        <v>165</v>
      </c>
      <c r="D7" s="6" t="str">
        <f>Registro_QC_CT!I48</f>
        <v/>
      </c>
      <c r="E7" s="4" t="s">
        <v>106</v>
      </c>
      <c r="F7" s="10" t="s">
        <v>107</v>
      </c>
    </row>
    <row r="8" spans="1:6" ht="28.8" x14ac:dyDescent="0.3">
      <c r="A8" s="10" t="s">
        <v>108</v>
      </c>
      <c r="B8" s="18" t="str">
        <f>Registro_QC_CT!D57</f>
        <v/>
      </c>
      <c r="C8" s="4" t="str">
        <f>Registro_QC_CT!E57</f>
        <v>≥ 5 pl/cm (protocolos distintos de tórax)</v>
      </c>
      <c r="D8" s="6" t="str">
        <f>Registro_QC_CT!F57</f>
        <v/>
      </c>
      <c r="E8" s="4" t="s">
        <v>110</v>
      </c>
      <c r="F8" s="10" t="s">
        <v>111</v>
      </c>
    </row>
    <row r="9" spans="1:6" x14ac:dyDescent="0.3">
      <c r="A9" s="10" t="s">
        <v>112</v>
      </c>
      <c r="B9" s="18" t="s">
        <v>61</v>
      </c>
      <c r="C9" s="4" t="s">
        <v>113</v>
      </c>
      <c r="D9" s="6" t="str">
        <f>Registro_QC_CT!E62</f>
        <v>NO APLICA</v>
      </c>
      <c r="E9" s="4" t="s">
        <v>110</v>
      </c>
      <c r="F9" s="10" t="s">
        <v>114</v>
      </c>
    </row>
    <row r="10" spans="1:6" x14ac:dyDescent="0.3">
      <c r="A10" s="10" t="s">
        <v>115</v>
      </c>
      <c r="B10" s="5" t="str">
        <f>Registro_QC_CT!D69</f>
        <v/>
      </c>
      <c r="C10" s="4" t="s">
        <v>166</v>
      </c>
      <c r="D10" s="6" t="str">
        <f>Registro_QC_CT!F69</f>
        <v/>
      </c>
      <c r="E10" s="4" t="s">
        <v>110</v>
      </c>
      <c r="F10" s="10" t="s">
        <v>116</v>
      </c>
    </row>
    <row r="11" spans="1:6" x14ac:dyDescent="0.3">
      <c r="A11" s="10" t="s">
        <v>167</v>
      </c>
      <c r="B11" s="18" t="str">
        <f>Registro_QC_CT!G69</f>
        <v/>
      </c>
      <c r="C11" s="4" t="s">
        <v>168</v>
      </c>
      <c r="D11" s="6" t="s">
        <v>71</v>
      </c>
      <c r="E11" s="4" t="s">
        <v>117</v>
      </c>
      <c r="F11" s="10" t="s">
        <v>118</v>
      </c>
    </row>
    <row r="12" spans="1:6" x14ac:dyDescent="0.3">
      <c r="A12" s="10" t="s">
        <v>119</v>
      </c>
      <c r="B12" s="5" t="str">
        <f>Registro_QC_CT!D73</f>
        <v/>
      </c>
      <c r="C12" s="4" t="s">
        <v>92</v>
      </c>
      <c r="D12" s="6" t="str">
        <f>Registro_QC_CT!F73</f>
        <v/>
      </c>
      <c r="E12" s="4" t="s">
        <v>106</v>
      </c>
      <c r="F12" s="10" t="s">
        <v>120</v>
      </c>
    </row>
    <row r="14" spans="1:6" x14ac:dyDescent="0.3">
      <c r="A14" s="23" t="s">
        <v>121</v>
      </c>
      <c r="B14" s="24"/>
      <c r="C14" s="24"/>
      <c r="D14" s="24"/>
      <c r="E14" s="24"/>
      <c r="F14" s="25"/>
    </row>
    <row r="15" spans="1:6" x14ac:dyDescent="0.3">
      <c r="A15" s="8" t="s">
        <v>122</v>
      </c>
      <c r="B15" s="34" t="str">
        <f>IF(COUNTIF(D4:D12,"CUMPLE")+COUNTIF(D4:D12,"NO CUMPLE")=0,"SIN DATOS",IF(COUNTIF(D4:D12,"NO CUMPLE")=0,"CUMPLE LOS CRITERIOS EVALUADOS","EQUIPO REQUIERE INTERVENCIÓN DE MANTENIMIENTO / CALIBRACIÓN"))</f>
        <v>SIN DATOS</v>
      </c>
      <c r="C15" s="24"/>
      <c r="D15" s="24"/>
      <c r="E15" s="24"/>
      <c r="F15" s="25"/>
    </row>
  </sheetData>
  <mergeCells count="3">
    <mergeCell ref="A14:F14"/>
    <mergeCell ref="B15:F15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/>
  </sheetViews>
  <sheetFormatPr defaultColWidth="8.88671875" defaultRowHeight="14.4" x14ac:dyDescent="0.3"/>
  <cols>
    <col min="1" max="1" width="25" customWidth="1"/>
    <col min="2" max="2" width="18" customWidth="1"/>
    <col min="3" max="4" width="22" customWidth="1"/>
  </cols>
  <sheetData>
    <row r="1" spans="1:4" x14ac:dyDescent="0.3">
      <c r="A1" s="27" t="s">
        <v>123</v>
      </c>
      <c r="B1" s="28"/>
      <c r="C1" s="28"/>
      <c r="D1" s="28"/>
    </row>
    <row r="3" spans="1:4" x14ac:dyDescent="0.3">
      <c r="A3" s="35" t="s">
        <v>169</v>
      </c>
      <c r="B3" s="24"/>
      <c r="C3" s="24"/>
      <c r="D3" s="25"/>
    </row>
    <row r="4" spans="1:4" ht="28.8" x14ac:dyDescent="0.3">
      <c r="A4" s="3" t="s">
        <v>34</v>
      </c>
      <c r="B4" s="3" t="s">
        <v>124</v>
      </c>
      <c r="C4" s="3" t="s">
        <v>125</v>
      </c>
      <c r="D4" s="3" t="s">
        <v>126</v>
      </c>
    </row>
    <row r="5" spans="1:4" ht="28.8" x14ac:dyDescent="0.3">
      <c r="A5" s="10" t="s">
        <v>41</v>
      </c>
      <c r="B5" s="18">
        <v>-92</v>
      </c>
      <c r="C5" s="4" t="s">
        <v>170</v>
      </c>
      <c r="D5" s="4" t="s">
        <v>171</v>
      </c>
    </row>
    <row r="6" spans="1:4" ht="28.8" x14ac:dyDescent="0.3">
      <c r="A6" s="10" t="s">
        <v>44</v>
      </c>
      <c r="B6" s="18">
        <v>-24</v>
      </c>
      <c r="C6" s="4" t="s">
        <v>170</v>
      </c>
      <c r="D6" s="4" t="s">
        <v>171</v>
      </c>
    </row>
    <row r="7" spans="1:4" ht="28.8" x14ac:dyDescent="0.3">
      <c r="A7" s="10" t="s">
        <v>45</v>
      </c>
      <c r="B7" s="18">
        <v>0</v>
      </c>
      <c r="C7" s="4" t="s">
        <v>12</v>
      </c>
      <c r="D7" s="4" t="s">
        <v>127</v>
      </c>
    </row>
    <row r="8" spans="1:4" ht="28.8" x14ac:dyDescent="0.3">
      <c r="A8" s="10" t="s">
        <v>47</v>
      </c>
      <c r="B8" s="18">
        <v>92</v>
      </c>
      <c r="C8" s="4" t="s">
        <v>170</v>
      </c>
      <c r="D8" s="4" t="s">
        <v>171</v>
      </c>
    </row>
    <row r="9" spans="1:4" ht="28.8" x14ac:dyDescent="0.3">
      <c r="A9" s="10" t="s">
        <v>49</v>
      </c>
      <c r="B9" s="18">
        <v>102</v>
      </c>
      <c r="C9" s="4" t="s">
        <v>170</v>
      </c>
      <c r="D9" s="4" t="s">
        <v>171</v>
      </c>
    </row>
    <row r="10" spans="1:4" ht="28.8" x14ac:dyDescent="0.3">
      <c r="A10" s="10" t="s">
        <v>51</v>
      </c>
      <c r="B10" s="18">
        <v>120</v>
      </c>
      <c r="C10" s="4" t="s">
        <v>170</v>
      </c>
      <c r="D10" s="4" t="s">
        <v>171</v>
      </c>
    </row>
    <row r="12" spans="1:4" x14ac:dyDescent="0.3">
      <c r="A12" s="19" t="s">
        <v>172</v>
      </c>
    </row>
    <row r="13" spans="1:4" x14ac:dyDescent="0.3">
      <c r="A13" s="10" t="s">
        <v>128</v>
      </c>
      <c r="B13" s="18" t="s">
        <v>12</v>
      </c>
      <c r="C13" s="4" t="s">
        <v>129</v>
      </c>
    </row>
    <row r="14" spans="1:4" x14ac:dyDescent="0.3">
      <c r="A14" s="10" t="s">
        <v>130</v>
      </c>
      <c r="B14" s="18" t="s">
        <v>173</v>
      </c>
      <c r="C14" s="4" t="s">
        <v>174</v>
      </c>
    </row>
    <row r="15" spans="1:4" x14ac:dyDescent="0.3">
      <c r="A15" s="10" t="s">
        <v>131</v>
      </c>
      <c r="B15" s="18" t="s">
        <v>26</v>
      </c>
      <c r="C15" s="4" t="s">
        <v>174</v>
      </c>
    </row>
    <row r="16" spans="1:4" ht="57.6" x14ac:dyDescent="0.3">
      <c r="A16" s="10" t="s">
        <v>132</v>
      </c>
      <c r="B16" s="18" t="s">
        <v>109</v>
      </c>
      <c r="C16" s="4" t="s">
        <v>175</v>
      </c>
    </row>
    <row r="17" spans="1:3" ht="86.4" x14ac:dyDescent="0.3">
      <c r="A17" s="10" t="s">
        <v>133</v>
      </c>
      <c r="B17" s="18" t="s">
        <v>176</v>
      </c>
      <c r="C17" s="4" t="s">
        <v>177</v>
      </c>
    </row>
    <row r="18" spans="1:3" ht="28.8" x14ac:dyDescent="0.3">
      <c r="A18" s="10" t="s">
        <v>134</v>
      </c>
      <c r="B18" s="18" t="s">
        <v>135</v>
      </c>
      <c r="C18" s="4" t="s">
        <v>178</v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Registro_QC_CT</vt:lpstr>
      <vt:lpstr>Resumen_QC</vt:lpstr>
      <vt:lpstr>Referencia_Tolerancias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Karol Peña</cp:lastModifiedBy>
  <dcterms:created xsi:type="dcterms:W3CDTF">2026-09-05T20:43:41Z</dcterms:created>
  <dcterms:modified xsi:type="dcterms:W3CDTF">2026-10-29T13:29:55Z</dcterms:modified>
</cp:coreProperties>
</file>
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manu\AppData\Local\Temp\claude\C--Users-jmanu-OneDrive-Desktop-TESIS-Karol\647e9b0c-6e56-4586-909f-43d01ae7fdc5\scratchpad\"/>
    </mc:Choice>
  </mc:AlternateContent>
  <xr:revisionPtr revIDLastSave="0" documentId="13_ncr:1_{7B9EE60B-D616-42B2-AF2E-8E55CE57C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dad_imagen" sheetId="1" r:id="rId1"/>
    <sheet name="CAE_repetibilidad" sheetId="2" r:id="rId2"/>
    <sheet name="CAE_compensacion" sheetId="3" r:id="rId3"/>
    <sheet name="Resumen_QC" sheetId="4" r:id="rId4"/>
    <sheet name="Referencia_Toleranc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E66" i="1"/>
  <c r="B9" i="4"/>
  <c r="B16" i="3"/>
  <c r="M14" i="3"/>
  <c r="H14" i="3"/>
  <c r="M13" i="3"/>
  <c r="H13" i="3"/>
  <c r="M12" i="3"/>
  <c r="H12" i="3"/>
  <c r="M11" i="3"/>
  <c r="H11" i="3"/>
  <c r="M10" i="3"/>
  <c r="H10" i="3"/>
  <c r="B23" i="2"/>
  <c r="B21" i="2"/>
  <c r="D21" i="2" s="1"/>
  <c r="D9" i="4" s="1"/>
  <c r="P17" i="2"/>
  <c r="O17" i="2"/>
  <c r="N17" i="2"/>
  <c r="M17" i="2"/>
  <c r="H17" i="2"/>
  <c r="P16" i="2"/>
  <c r="O16" i="2"/>
  <c r="N16" i="2"/>
  <c r="M16" i="2"/>
  <c r="H16" i="2"/>
  <c r="P15" i="2"/>
  <c r="O15" i="2"/>
  <c r="N15" i="2"/>
  <c r="M15" i="2"/>
  <c r="B32" i="2" s="1"/>
  <c r="H15" i="2"/>
  <c r="Q14" i="2"/>
  <c r="I14" i="2"/>
  <c r="Q13" i="2"/>
  <c r="I13" i="2"/>
  <c r="Q12" i="2"/>
  <c r="I12" i="2"/>
  <c r="Q11" i="2"/>
  <c r="I11" i="2"/>
  <c r="Q10" i="2"/>
  <c r="I10" i="2"/>
  <c r="C65" i="1"/>
  <c r="C64" i="1"/>
  <c r="C63" i="1"/>
  <c r="B41" i="1"/>
  <c r="B40" i="1"/>
  <c r="B39" i="1"/>
  <c r="D34" i="1"/>
  <c r="D33" i="1"/>
  <c r="D32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23" i="2" l="1"/>
  <c r="D11" i="4" s="1"/>
  <c r="B11" i="4"/>
  <c r="D32" i="2"/>
  <c r="B14" i="4" s="1"/>
  <c r="F32" i="2"/>
  <c r="D14" i="4" s="1"/>
  <c r="Q17" i="2"/>
  <c r="Q16" i="2"/>
  <c r="B24" i="2" s="1"/>
  <c r="Q15" i="2"/>
  <c r="B33" i="2" s="1"/>
  <c r="I17" i="2"/>
  <c r="I16" i="2"/>
  <c r="B22" i="2" s="1"/>
  <c r="I15" i="2"/>
  <c r="B31" i="2" s="1"/>
  <c r="C67" i="1"/>
  <c r="B8" i="4" s="1"/>
  <c r="C66" i="1"/>
  <c r="B7" i="4" s="1"/>
  <c r="G41" i="1"/>
  <c r="D41" i="1"/>
  <c r="C41" i="1"/>
  <c r="G40" i="1"/>
  <c r="D40" i="1"/>
  <c r="C40" i="1"/>
  <c r="G39" i="1"/>
  <c r="D39" i="1"/>
  <c r="C39" i="1"/>
  <c r="G28" i="1"/>
  <c r="H28" i="1" s="1"/>
  <c r="E28" i="1"/>
  <c r="F28" i="1"/>
  <c r="F27" i="1"/>
  <c r="G27" i="1"/>
  <c r="H27" i="1" s="1"/>
  <c r="E27" i="1"/>
  <c r="E26" i="1"/>
  <c r="G26" i="1"/>
  <c r="H26" i="1" s="1"/>
  <c r="F26" i="1"/>
  <c r="G25" i="1"/>
  <c r="H25" i="1" s="1"/>
  <c r="F25" i="1"/>
  <c r="E25" i="1"/>
  <c r="G24" i="1"/>
  <c r="H24" i="1" s="1"/>
  <c r="F24" i="1"/>
  <c r="E24" i="1"/>
  <c r="G23" i="1"/>
  <c r="H23" i="1" s="1"/>
  <c r="F23" i="1"/>
  <c r="E23" i="1"/>
  <c r="F22" i="1"/>
  <c r="E22" i="1"/>
  <c r="G22" i="1"/>
  <c r="H22" i="1" s="1"/>
  <c r="G21" i="1"/>
  <c r="H21" i="1" s="1"/>
  <c r="F21" i="1"/>
  <c r="E21" i="1"/>
  <c r="G20" i="1"/>
  <c r="H20" i="1" s="1"/>
  <c r="F20" i="1"/>
  <c r="E20" i="1"/>
  <c r="F19" i="1"/>
  <c r="E19" i="1"/>
  <c r="G19" i="1"/>
  <c r="H19" i="1" s="1"/>
  <c r="G18" i="1"/>
  <c r="H18" i="1" s="1"/>
  <c r="F18" i="1"/>
  <c r="E18" i="1"/>
  <c r="G17" i="1"/>
  <c r="H17" i="1" s="1"/>
  <c r="F17" i="1"/>
  <c r="E17" i="1"/>
  <c r="G16" i="1"/>
  <c r="H16" i="1" s="1"/>
  <c r="F16" i="1"/>
  <c r="E16" i="1"/>
  <c r="G15" i="1"/>
  <c r="H15" i="1" s="1"/>
  <c r="F15" i="1"/>
  <c r="E15" i="1"/>
  <c r="G14" i="1"/>
  <c r="H14" i="1" s="1"/>
  <c r="F14" i="1"/>
  <c r="E14" i="1"/>
  <c r="G13" i="1"/>
  <c r="H13" i="1" s="1"/>
  <c r="E13" i="1"/>
  <c r="F13" i="1"/>
  <c r="B12" i="4" l="1"/>
  <c r="D24" i="2"/>
  <c r="D12" i="4" s="1"/>
  <c r="D33" i="2"/>
  <c r="B15" i="4" s="1"/>
  <c r="F33" i="2"/>
  <c r="D15" i="4" s="1"/>
  <c r="D22" i="2"/>
  <c r="D10" i="4" s="1"/>
  <c r="B10" i="4"/>
  <c r="D31" i="2"/>
  <c r="B13" i="4" s="1"/>
  <c r="F31" i="2"/>
  <c r="D13" i="4" s="1"/>
  <c r="F41" i="1"/>
  <c r="D6" i="4" s="1"/>
  <c r="I41" i="1"/>
  <c r="B6" i="4"/>
  <c r="F40" i="1"/>
  <c r="D5" i="4" s="1"/>
  <c r="B5" i="4"/>
  <c r="I40" i="1"/>
  <c r="F39" i="1"/>
  <c r="D4" i="4" s="1"/>
  <c r="I39" i="1"/>
  <c r="B4" i="4"/>
  <c r="B18" i="4" l="1"/>
</calcChain>
</file>

<file path=xl/sharedStrings.xml><?xml version="1.0" encoding="utf-8"?>
<sst xmlns="http://schemas.openxmlformats.org/spreadsheetml/2006/main" count="265" uniqueCount="182">
  <si>
    <t>Trabajo de Grado - Karol Andrea Peña Arango · ARCAL XLIX §4.9.2</t>
  </si>
  <si>
    <t>Fecha de evaluación:</t>
  </si>
  <si>
    <t>Institución / sede:</t>
  </si>
  <si>
    <t>Equipo (fabricante, modelo, serie):</t>
  </si>
  <si>
    <t>Imagen (archivo):</t>
  </si>
  <si>
    <t>1. TÉCNICA DE ADQUISICIÓN (del encabezado DICOM; imagen procesada FOR PRESENTATION)</t>
  </si>
  <si>
    <t>kV</t>
  </si>
  <si>
    <t>Ánodo / filtro</t>
  </si>
  <si>
    <t>mAs</t>
  </si>
  <si>
    <t>Modo</t>
  </si>
  <si>
    <t>Espesor (mm)</t>
  </si>
  <si>
    <t>Fuerza (N)</t>
  </si>
  <si>
    <t>Ventana usada (WL / WW)</t>
  </si>
  <si>
    <t>2. PUNTUACIÓN DE LOS OBJETOS · fibras y masas: 1 / 0.5 / 0 · micros: n.º de partículas vistas (0 a 6)</t>
  </si>
  <si>
    <t>Objeto</t>
  </si>
  <si>
    <t>Tamaño nominal (mm)</t>
  </si>
  <si>
    <t>Respuesta</t>
  </si>
  <si>
    <t>Puntuación</t>
  </si>
  <si>
    <t>Contado (regla de corte)</t>
  </si>
  <si>
    <t>Aporte</t>
  </si>
  <si>
    <t>Cuenta para artefactos</t>
  </si>
  <si>
    <t>Último contado</t>
  </si>
  <si>
    <t>Observaciones</t>
  </si>
  <si>
    <t>F1 · fibra</t>
  </si>
  <si>
    <t>F2 · fibra</t>
  </si>
  <si>
    <t>F3 · fibra</t>
  </si>
  <si>
    <t>F4 · fibra</t>
  </si>
  <si>
    <t>F5 · fibra</t>
  </si>
  <si>
    <t>F6 · fibra</t>
  </si>
  <si>
    <t>S1 · grupo de micros</t>
  </si>
  <si>
    <t>S2 · grupo de micros</t>
  </si>
  <si>
    <t>S3 · grupo de micros</t>
  </si>
  <si>
    <t>S4 · grupo de micros</t>
  </si>
  <si>
    <t>S5 · grupo de micros</t>
  </si>
  <si>
    <t>M1 · masa</t>
  </si>
  <si>
    <t>M2 · masa</t>
  </si>
  <si>
    <t>M3 · masa</t>
  </si>
  <si>
    <t>M4 · masa</t>
  </si>
  <si>
    <t>M5 · masa</t>
  </si>
  <si>
    <t>Artefactos (objetos con forma de fibra, grupo o masa fuera de su posición)</t>
  </si>
  <si>
    <t>Tipo de artefacto</t>
  </si>
  <si>
    <t>Cantidad</t>
  </si>
  <si>
    <t>Resta en</t>
  </si>
  <si>
    <t>Puntuación restada</t>
  </si>
  <si>
    <t>Raya (forma de fibra)</t>
  </si>
  <si>
    <t>fibras</t>
  </si>
  <si>
    <t>Punto brillante (forma de micro)</t>
  </si>
  <si>
    <t>micros</t>
  </si>
  <si>
    <t>Mancha redonda (forma de masa)</t>
  </si>
  <si>
    <t>masas</t>
  </si>
  <si>
    <t>Otro (se registra, no resta)</t>
  </si>
  <si>
    <t>—</t>
  </si>
  <si>
    <t>Totales ARCAL</t>
  </si>
  <si>
    <t>Tipo</t>
  </si>
  <si>
    <t>Suma con corte</t>
  </si>
  <si>
    <t>Restado por artefactos</t>
  </si>
  <si>
    <t>Total</t>
  </si>
  <si>
    <t>Mínimo</t>
  </si>
  <si>
    <t>Estado</t>
  </si>
  <si>
    <t>Corte en</t>
  </si>
  <si>
    <t>Total del control anterior (opcional)</t>
  </si>
  <si>
    <t>Cambio (ARCAL: ≤ 0.5, informativo)</t>
  </si>
  <si>
    <t>Fibras</t>
  </si>
  <si>
    <t>≥ 4</t>
  </si>
  <si>
    <t>Micros</t>
  </si>
  <si>
    <t>≥ 3</t>
  </si>
  <si>
    <t>Masas</t>
  </si>
  <si>
    <t>3. FONDO Y UNIFORMIDAD · ROI de ~1 cm² en el fondo de la cera de cada celda, libre de objetos</t>
  </si>
  <si>
    <t>Celda</t>
  </si>
  <si>
    <t>Objeto de la celda</t>
  </si>
  <si>
    <t>Media del ROI</t>
  </si>
  <si>
    <t>Área del ROI (mm²)</t>
  </si>
  <si>
    <t>Promedio de las medias Ī</t>
  </si>
  <si>
    <t>Máximo</t>
  </si>
  <si>
    <t>U = (máx − mín) / Ī × 100 (%)</t>
  </si>
  <si>
    <t>NO APLICA</t>
  </si>
  <si>
    <t>CV = DE de las medias / Ī × 100 (%)</t>
  </si>
  <si>
    <t>Placas de PMMA:</t>
  </si>
  <si>
    <t>1. TÉCNICA, DOSIS Y ROI DE 20 × 20 mm (4 cm²) A 60 mm DE LA PARED TORÁCICA, CENTRADA A LO ALTO</t>
  </si>
  <si>
    <t>Exposición</t>
  </si>
  <si>
    <t>Archivo</t>
  </si>
  <si>
    <t>Hora</t>
  </si>
  <si>
    <t>Corriente I (mA)</t>
  </si>
  <si>
    <t>Tiempo t (ms)</t>
  </si>
  <si>
    <t>Carga Q = I·t/1000 (mAs)</t>
  </si>
  <si>
    <t>mAs del encabezado (redondeado)</t>
  </si>
  <si>
    <t>ESD (mGy)</t>
  </si>
  <si>
    <t>Media Ī del ROI</t>
  </si>
  <si>
    <t>DE σ del ROI</t>
  </si>
  <si>
    <t>SNR = Ī / σ</t>
  </si>
  <si>
    <t>Media</t>
  </si>
  <si>
    <t>CV = s / x̄ × 100 (%)</t>
  </si>
  <si>
    <t>Desv. máx. = máx|xᵢ − x̄| / x̄ × 100 (%)</t>
  </si>
  <si>
    <t>Criterio</t>
  </si>
  <si>
    <t>Valor</t>
  </si>
  <si>
    <t>Tolerancia</t>
  </si>
  <si>
    <t>La serie es una repetición: una sola combinación de kV, ánodo/filtro y modo</t>
  </si>
  <si>
    <t>1 combinación</t>
  </si>
  <si>
    <t>CV de la carga Q (%)</t>
  </si>
  <si>
    <t>≤ 5 %</t>
  </si>
  <si>
    <t>CV del SNR (%)</t>
  </si>
  <si>
    <t>3. REFERENCIA DEL EQUIPO: serie completada más antigua con la misma técnica (kV ± 0.5, ánodo/filtro igual, espesor ± 2 mm)</t>
  </si>
  <si>
    <t>La primera serie de cada técnica no se compara: queda como referencia.</t>
  </si>
  <si>
    <t>Serie de referencia (fecha, archivo):</t>
  </si>
  <si>
    <t>Medida</t>
  </si>
  <si>
    <t>Media de esta serie</t>
  </si>
  <si>
    <t>Media de la referencia</t>
  </si>
  <si>
    <t>Δ = (x̄ − x̄ref) / x̄ref × 100 (%)</t>
  </si>
  <si>
    <t>Carga Q (mAs)</t>
  </si>
  <si>
    <t>± 15 %</t>
  </si>
  <si>
    <t>SNR</t>
  </si>
  <si>
    <t>1. TOMAS ORDENADAS DE MENOR A MAYOR ESPESOR COMPRIMIDO · ROI de 20 × 20 mm a 60 mm de la pared torácica (informativo)</t>
  </si>
  <si>
    <t>Toma</t>
  </si>
  <si>
    <t>Láminas usadas</t>
  </si>
  <si>
    <t>Espesor comprimido (mm)</t>
  </si>
  <si>
    <t>Control de espesores:</t>
  </si>
  <si>
    <t>INFORME RESUMEN Y CONFORMIDAD DEL CONTROL DE CALIDAD EN MAMOGRAFÍA</t>
  </si>
  <si>
    <t>Prueba / parámetro</t>
  </si>
  <si>
    <t>Valor medido</t>
  </si>
  <si>
    <t>Origen</t>
  </si>
  <si>
    <t>ARCAL XLIX §4.9.2</t>
  </si>
  <si>
    <t>sin veredicto</t>
  </si>
  <si>
    <t>línea base del equipo</t>
  </si>
  <si>
    <t>descriptiva</t>
  </si>
  <si>
    <t>sin criterio</t>
  </si>
  <si>
    <t>DICTAMEN:</t>
  </si>
  <si>
    <t>Prueba</t>
  </si>
  <si>
    <t>Fibras ≥ 4, grupos de microcalcificaciones ≥ 3, masas ≥ 3</t>
  </si>
  <si>
    <t>Fibras: 1 completa, 0.5 más de la mitad, 0 menos. Grupos: 1 si se ven ≥ 4 de 6, 0.5 si 2 o 3, 0 si &lt; 2. Masas: 1 completa y circular, 0.5 parcial, 0 no se ve</t>
  </si>
  <si>
    <t>ARCAL XLIX</t>
  </si>
  <si>
    <t>U y CV sin veredicto; se guardan como línea base del equipo</t>
  </si>
  <si>
    <t>sin criterio publicado</t>
  </si>
  <si>
    <t>Una sola combinación de kV, ánodo/filtro y modo</t>
  </si>
  <si>
    <t>Desviación ≤ 15 % respecto a la referencia del equipo</t>
  </si>
  <si>
    <t>Sin criterio (descriptiva)</t>
  </si>
  <si>
    <t>DGM (mGy)</t>
  </si>
  <si>
    <t>CV de la DGM (%)</t>
  </si>
  <si>
    <t>Calidad de imagen · Fibras</t>
  </si>
  <si>
    <t>Calidad de imagen · Grupos de microcalcificaciones</t>
  </si>
  <si>
    <t>Calidad de imagen · Masas</t>
  </si>
  <si>
    <t>Calidad de imagen · Uniformidad U (%)</t>
  </si>
  <si>
    <t>Calidad de imagen · CV de las celdas (%)</t>
  </si>
  <si>
    <t>Repetibilidad del control automático · Una sola combinación de técnica</t>
  </si>
  <si>
    <t>de este trabajo</t>
  </si>
  <si>
    <t>Repetibilidad del control automático · CV de la carga (%)</t>
  </si>
  <si>
    <t>Repetibilidad del control automático · CV de la DGM (%)</t>
  </si>
  <si>
    <t>Repetibilidad del control automático · CV del SNR (%)</t>
  </si>
  <si>
    <t>Repetibilidad del control automático · Δ carga vs referencia (%)</t>
  </si>
  <si>
    <t>de este trabajo (TECDOC 4.7 adaptado)</t>
  </si>
  <si>
    <t>Repetibilidad del control automático · Δ DGM vs referencia (%)</t>
  </si>
  <si>
    <t>Repetibilidad del control automático · Δ SNR vs referencia (%)</t>
  </si>
  <si>
    <t>Compensación del control automático · Compensación del CAE</t>
  </si>
  <si>
    <t>Criterio pendiente del objeto de aluminio</t>
  </si>
  <si>
    <t>Calidad de imagen · puntuación</t>
  </si>
  <si>
    <t>Calidad de imagen · puntuación por objeto</t>
  </si>
  <si>
    <t>Calidad de imagen · cambio entre controles</t>
  </si>
  <si>
    <t>Calidad de imagen · uniformidad</t>
  </si>
  <si>
    <t>Repetibilidad del control automático · repetición</t>
  </si>
  <si>
    <t>Repetibilidad del control automático · repetibilidad</t>
  </si>
  <si>
    <t>CV ≤ 5 % de la carga, la DGM y el SNR</t>
  </si>
  <si>
    <t>Repetibilidad del control automático · línea base</t>
  </si>
  <si>
    <t>Compensación del control automático</t>
  </si>
  <si>
    <t>Persona que evalúa:</t>
  </si>
  <si>
    <t>CALIDAD DE IMAGEN CON EL FANTOMA MAMMO 156 - MEDICIÓN MANUAL</t>
  </si>
  <si>
    <t>DGM (mGy) = encabezado (dGy) × 100</t>
  </si>
  <si>
    <t>Regla de corte (ARCAL XLIX): se suma de mayor a menor hasta el primer objeto que no recibe 1 punto, incluido (0,5 suma, 0 no). Artefactos: raya → fibras, punto brillante → microcalcificaciones, mancha redonda → masas, otro → se registra y no resta. En fibras y masas cada artefacto resta el puntaje del último objeto contado, y el siguiente artefacto el del anterior. En microcalcificaciones cada artefacto le quita una partícula al último grupo contado, que se vuelve a puntuar.</t>
  </si>
  <si>
    <t>Esta imagen</t>
  </si>
  <si>
    <t>Línea base (misma técnica)</t>
  </si>
  <si>
    <t>Diferencia</t>
  </si>
  <si>
    <t>SIN VEREDICTO</t>
  </si>
  <si>
    <t>REPETIBILIDAD DEL CONTROL AUTOMÁTICO DE LA EXPOSICIÓN - MEDICIÓN MANUAL</t>
  </si>
  <si>
    <t>5 exposiciones seguidas del PMMA con el control automático activado y la misma técnica · prueba adaptada a imágenes procesadas (TECDOC-1958 §4.7)</t>
  </si>
  <si>
    <t>2. CRITERIOS DE ACEPTACIÓN (de este trabajo, adaptados del TECDOC-1958 §4.7 a imágenes procesadas)</t>
  </si>
  <si>
    <t>La carga real es Q = I · t / 1000, porque el mAs del encabezado viene redondeado a un entero y esconde la variación. El módulo quita la variación lenta del fondo antes de calcular σ; a mano σ sale algo mayor y el SNR algo menor, así que conviene medir siempre de la misma forma. La dosis glandular media (DGM) viene en el encabezado en dGy (campo Organ Dose): multiplicarla por 100 para escribirla en mGy. Hora, tiempo, dosis en la entrada, media y desviación estándar del ROI son informativos.</t>
  </si>
  <si>
    <t>COMPENSACIÓN DEL CONTROL AUTOMÁTICO DE LA EXPOSICIÓN - MEDICIÓN MANUAL</t>
  </si>
  <si>
    <t>Una imagen por espesor de PMMA con el control automático activado (20, 45 y 70 mm) · prueba descriptiva, sin criterio (TECDOC-1958 §4.8 adaptada)</t>
  </si>
  <si>
    <t>Sin criterio de aceptación: se registran la técnica que elige el control automático, la carga y la dosis para cada espesor. El criterio del protocolo (TECDOC-1958 §4.8) compara la relación señal diferencia ruido de un objeto de aluminio sobre el PMMA con la de la toma de 45 mm, y las imágenes actuales no tienen ese objeto. El SNR de la imagen procesada no sirve para comparar espesores, porque el procesamiento iguala el ruido.</t>
  </si>
  <si>
    <t>de este trabajo (adaptado del TECDOC-1958 §4.7)</t>
  </si>
  <si>
    <t>Los criterios marcados «de este trabajo» son provisionales: no vienen de un protocolo y se revisan con la línea base de la institución. Las pruebas del control automático se evalúan sobre imágenes procesadas (FOR PRESENTATION) y no reemplazan las pruebas del TECDOC-1958 §4.7 y §4.8.</t>
  </si>
  <si>
    <t>CRITERIOS VIGENTES</t>
  </si>
  <si>
    <t>Ningún total cambia más de 0,5 puntos (el módulo aún no lo evalúa)</t>
  </si>
  <si>
    <t>de este trabajo, provisional (TECDOC-1958 §4.7)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</si>
</sst>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0.0;\-0.0;0.0"/>
    <numFmt numFmtId="166" formatCode="0.000"/>
    <numFmt numFmtId="167" formatCode="\+0.00;\-0.00;0.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E0F2FE"/>
      <name val="Calibri"/>
    </font>
    <font>
      <b/>
      <sz val="11"/>
      <name val="Calibri"/>
    </font>
    <font>
      <sz val="11"/>
      <name val="Calibri"/>
    </font>
    <font>
      <b/>
      <sz val="11"/>
      <color rgb="FF1E293B"/>
      <name val="Calibri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BEB"/>
      </patternFill>
    </fill>
    <fill>
      <patternFill patternType="solid">
        <fgColor rgb="FFE2E8F0"/>
      </patternFill>
    </fill>
    <fill>
      <patternFill patternType="solid">
        <fgColor rgb="FF1E3A8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 patternType="solid">
          <fgColor rgb="FFE2E8F0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AGD contra espesor comprimido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AGD</c:v>
          </c:tx>
          <c:spPr>
            <a:ln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xVal>
            <c:numRef>
              <c:f>CAE_compensacion!$C$10:$C$14</c:f>
              <c:numCache>
                <c:formatCode>0.00</c:formatCode>
                <c:ptCount val="5"/>
              </c:numCache>
            </c:numRef>
          </c:xVal>
          <c:yVal>
            <c:numRef>
              <c:f>CAE_compensacion!$I$10:$I$14</c:f>
              <c:numCache>
                <c:formatCode>0.00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81-460C-99AA-EDB6AA09C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Espesor comprimido (mm)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AGD (mGy)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sqref="A1:I1"/>
    </sheetView>
  </sheetViews>
  <sheetFormatPr defaultRowHeight="14.4" x14ac:dyDescent="0.3"/>
  <cols>
    <col min="1" max="1" width="30" customWidth="1"/>
    <col min="2" max="4" width="14" customWidth="1"/>
    <col min="5" max="7" width="16" customWidth="1"/>
    <col min="8" max="8" width="18" customWidth="1"/>
    <col min="9" max="9" width="40" customWidth="1"/>
  </cols>
  <sheetData>
    <row r="1" spans="1:9" ht="25.95" customHeight="1" x14ac:dyDescent="0.3">
      <c r="A1" s="27" t="s">
        <v>163</v>
      </c>
      <c r="B1" s="24"/>
      <c r="C1" s="24"/>
      <c r="D1" s="24"/>
      <c r="E1" s="24"/>
      <c r="F1" s="24"/>
      <c r="G1" s="24"/>
      <c r="H1" s="24"/>
      <c r="I1" s="24"/>
    </row>
    <row r="2" spans="1:9" x14ac:dyDescent="0.3">
      <c r="A2" s="25" t="s">
        <v>0</v>
      </c>
      <c r="B2" s="24"/>
      <c r="C2" s="24"/>
      <c r="D2" s="24"/>
      <c r="E2" s="24"/>
      <c r="F2" s="24"/>
      <c r="G2" s="24"/>
      <c r="H2" s="24"/>
      <c r="I2" s="24"/>
    </row>
    <row r="4" spans="1:9" ht="28.8" x14ac:dyDescent="0.3">
      <c r="A4" s="1" t="s">
        <v>1</v>
      </c>
      <c r="B4" s="2"/>
      <c r="D4" s="1" t="s">
        <v>2</v>
      </c>
      <c r="E4" s="2"/>
      <c r="G4" s="1" t="s">
        <v>162</v>
      </c>
      <c r="H4" s="2"/>
    </row>
    <row r="5" spans="1:9" ht="28.8" x14ac:dyDescent="0.3">
      <c r="A5" s="1" t="s">
        <v>3</v>
      </c>
      <c r="B5" s="28"/>
      <c r="C5" s="24"/>
      <c r="D5" s="24"/>
      <c r="E5" s="24"/>
      <c r="G5" s="1" t="s">
        <v>4</v>
      </c>
      <c r="H5" s="2"/>
    </row>
    <row r="7" spans="1:9" x14ac:dyDescent="0.3">
      <c r="A7" s="23" t="s">
        <v>5</v>
      </c>
      <c r="B7" s="24"/>
      <c r="C7" s="24"/>
      <c r="D7" s="24"/>
      <c r="E7" s="24"/>
      <c r="F7" s="24"/>
      <c r="G7" s="24"/>
      <c r="H7" s="24"/>
      <c r="I7" s="24"/>
    </row>
    <row r="8" spans="1:9" ht="45" customHeight="1" x14ac:dyDescent="0.3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164</v>
      </c>
      <c r="H8" s="3" t="s">
        <v>12</v>
      </c>
    </row>
    <row r="9" spans="1:9" x14ac:dyDescent="0.3">
      <c r="A9" s="4"/>
      <c r="B9" s="4"/>
      <c r="C9" s="4"/>
      <c r="D9" s="4"/>
      <c r="E9" s="4"/>
      <c r="F9" s="4"/>
      <c r="G9" s="4"/>
      <c r="H9" s="4"/>
    </row>
    <row r="11" spans="1:9" x14ac:dyDescent="0.3">
      <c r="A11" s="23" t="s">
        <v>13</v>
      </c>
      <c r="B11" s="24"/>
      <c r="C11" s="24"/>
      <c r="D11" s="24"/>
      <c r="E11" s="24"/>
      <c r="F11" s="24"/>
      <c r="G11" s="24"/>
      <c r="H11" s="24"/>
      <c r="I11" s="24"/>
    </row>
    <row r="12" spans="1:9" ht="45" customHeight="1" x14ac:dyDescent="0.3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21</v>
      </c>
      <c r="I12" s="3" t="s">
        <v>22</v>
      </c>
    </row>
    <row r="13" spans="1:9" x14ac:dyDescent="0.3">
      <c r="A13" s="5" t="s">
        <v>23</v>
      </c>
      <c r="B13" s="6">
        <v>1.56</v>
      </c>
      <c r="C13" s="4"/>
      <c r="D13" s="7" t="str">
        <f t="shared" ref="D13:D18" si="0">IF(ISBLANK(C13),"",C13)</f>
        <v/>
      </c>
      <c r="E13" s="7" t="str">
        <f>IF(D13="","",1)</f>
        <v/>
      </c>
      <c r="F13" s="8" t="str">
        <f t="shared" ref="F13:F28" si="1">IF(D13="","",D13*E13)</f>
        <v/>
      </c>
      <c r="G13" s="7">
        <f t="shared" ref="G13:G28" si="2">IF(D13="",0,IF(AND(E13=1,D13&gt;0),1,0))</f>
        <v>0</v>
      </c>
      <c r="H13" s="7" t="str">
        <f>IF(AND(G13=1,G14=0),"SÍ","")</f>
        <v/>
      </c>
      <c r="I13" s="5"/>
    </row>
    <row r="14" spans="1:9" x14ac:dyDescent="0.3">
      <c r="A14" s="5" t="s">
        <v>24</v>
      </c>
      <c r="B14" s="6">
        <v>1.1200000000000001</v>
      </c>
      <c r="C14" s="4"/>
      <c r="D14" s="7" t="str">
        <f t="shared" si="0"/>
        <v/>
      </c>
      <c r="E14" s="7" t="str">
        <f>IF(D14="","",IF(AND(E13=1,D13=1),1,0))</f>
        <v/>
      </c>
      <c r="F14" s="8" t="str">
        <f t="shared" si="1"/>
        <v/>
      </c>
      <c r="G14" s="7">
        <f t="shared" si="2"/>
        <v>0</v>
      </c>
      <c r="H14" s="7" t="str">
        <f>IF(AND(G14=1,G15=0),"SÍ","")</f>
        <v/>
      </c>
      <c r="I14" s="5"/>
    </row>
    <row r="15" spans="1:9" x14ac:dyDescent="0.3">
      <c r="A15" s="5" t="s">
        <v>25</v>
      </c>
      <c r="B15" s="6">
        <v>0.89</v>
      </c>
      <c r="C15" s="4"/>
      <c r="D15" s="7" t="str">
        <f t="shared" si="0"/>
        <v/>
      </c>
      <c r="E15" s="7" t="str">
        <f>IF(D15="","",IF(AND(E14=1,D14=1),1,0))</f>
        <v/>
      </c>
      <c r="F15" s="8" t="str">
        <f t="shared" si="1"/>
        <v/>
      </c>
      <c r="G15" s="7">
        <f t="shared" si="2"/>
        <v>0</v>
      </c>
      <c r="H15" s="7" t="str">
        <f>IF(AND(G15=1,G16=0),"SÍ","")</f>
        <v/>
      </c>
      <c r="I15" s="5"/>
    </row>
    <row r="16" spans="1:9" x14ac:dyDescent="0.3">
      <c r="A16" s="5" t="s">
        <v>26</v>
      </c>
      <c r="B16" s="6">
        <v>0.75</v>
      </c>
      <c r="C16" s="4"/>
      <c r="D16" s="7" t="str">
        <f t="shared" si="0"/>
        <v/>
      </c>
      <c r="E16" s="7" t="str">
        <f>IF(D16="","",IF(AND(E15=1,D15=1),1,0))</f>
        <v/>
      </c>
      <c r="F16" s="8" t="str">
        <f t="shared" si="1"/>
        <v/>
      </c>
      <c r="G16" s="7">
        <f t="shared" si="2"/>
        <v>0</v>
      </c>
      <c r="H16" s="7" t="str">
        <f>IF(AND(G16=1,G17=0),"SÍ","")</f>
        <v/>
      </c>
      <c r="I16" s="5"/>
    </row>
    <row r="17" spans="1:9" x14ac:dyDescent="0.3">
      <c r="A17" s="5" t="s">
        <v>27</v>
      </c>
      <c r="B17" s="6">
        <v>0.54</v>
      </c>
      <c r="C17" s="4"/>
      <c r="D17" s="7" t="str">
        <f t="shared" si="0"/>
        <v/>
      </c>
      <c r="E17" s="7" t="str">
        <f>IF(D17="","",IF(AND(E16=1,D16=1),1,0))</f>
        <v/>
      </c>
      <c r="F17" s="8" t="str">
        <f t="shared" si="1"/>
        <v/>
      </c>
      <c r="G17" s="7">
        <f t="shared" si="2"/>
        <v>0</v>
      </c>
      <c r="H17" s="7" t="str">
        <f>IF(AND(G17=1,G18=0),"SÍ","")</f>
        <v/>
      </c>
      <c r="I17" s="5"/>
    </row>
    <row r="18" spans="1:9" x14ac:dyDescent="0.3">
      <c r="A18" s="5" t="s">
        <v>28</v>
      </c>
      <c r="B18" s="6">
        <v>0.4</v>
      </c>
      <c r="C18" s="4"/>
      <c r="D18" s="7" t="str">
        <f t="shared" si="0"/>
        <v/>
      </c>
      <c r="E18" s="7" t="str">
        <f>IF(D18="","",IF(AND(E17=1,D17=1),1,0))</f>
        <v/>
      </c>
      <c r="F18" s="8" t="str">
        <f t="shared" si="1"/>
        <v/>
      </c>
      <c r="G18" s="7">
        <f t="shared" si="2"/>
        <v>0</v>
      </c>
      <c r="H18" s="7" t="str">
        <f>IF(G18=1,"SÍ","")</f>
        <v/>
      </c>
      <c r="I18" s="5"/>
    </row>
    <row r="19" spans="1:9" x14ac:dyDescent="0.3">
      <c r="A19" s="5" t="s">
        <v>29</v>
      </c>
      <c r="B19" s="6">
        <v>0.54</v>
      </c>
      <c r="C19" s="4"/>
      <c r="D19" s="7" t="str">
        <f>IF(ISBLANK(C19),"",IF(C19&gt;=4,1,IF(C19&gt;=2,0.5,0)))</f>
        <v/>
      </c>
      <c r="E19" s="7" t="str">
        <f>IF(D19="","",1)</f>
        <v/>
      </c>
      <c r="F19" s="8" t="str">
        <f t="shared" si="1"/>
        <v/>
      </c>
      <c r="G19" s="7">
        <f t="shared" si="2"/>
        <v>0</v>
      </c>
      <c r="H19" s="7" t="str">
        <f>IF(AND(G19=1,G20=0),"SÍ","")</f>
        <v/>
      </c>
      <c r="I19" s="5"/>
    </row>
    <row r="20" spans="1:9" x14ac:dyDescent="0.3">
      <c r="A20" s="5" t="s">
        <v>30</v>
      </c>
      <c r="B20" s="6">
        <v>0.4</v>
      </c>
      <c r="C20" s="4"/>
      <c r="D20" s="7" t="str">
        <f>IF(ISBLANK(C20),"",IF(C20&gt;=4,1,IF(C20&gt;=2,0.5,0)))</f>
        <v/>
      </c>
      <c r="E20" s="7" t="str">
        <f>IF(D20="","",IF(AND(E19=1,D19=1),1,0))</f>
        <v/>
      </c>
      <c r="F20" s="8" t="str">
        <f t="shared" si="1"/>
        <v/>
      </c>
      <c r="G20" s="7">
        <f t="shared" si="2"/>
        <v>0</v>
      </c>
      <c r="H20" s="7" t="str">
        <f>IF(AND(G20=1,G21=0),"SÍ","")</f>
        <v/>
      </c>
      <c r="I20" s="5"/>
    </row>
    <row r="21" spans="1:9" x14ac:dyDescent="0.3">
      <c r="A21" s="5" t="s">
        <v>31</v>
      </c>
      <c r="B21" s="6">
        <v>0.32</v>
      </c>
      <c r="C21" s="4"/>
      <c r="D21" s="7" t="str">
        <f>IF(ISBLANK(C21),"",IF(C21&gt;=4,1,IF(C21&gt;=2,0.5,0)))</f>
        <v/>
      </c>
      <c r="E21" s="7" t="str">
        <f>IF(D21="","",IF(AND(E20=1,D20=1),1,0))</f>
        <v/>
      </c>
      <c r="F21" s="8" t="str">
        <f t="shared" si="1"/>
        <v/>
      </c>
      <c r="G21" s="7">
        <f t="shared" si="2"/>
        <v>0</v>
      </c>
      <c r="H21" s="7" t="str">
        <f>IF(AND(G21=1,G22=0),"SÍ","")</f>
        <v/>
      </c>
      <c r="I21" s="5"/>
    </row>
    <row r="22" spans="1:9" x14ac:dyDescent="0.3">
      <c r="A22" s="5" t="s">
        <v>32</v>
      </c>
      <c r="B22" s="6">
        <v>0.24</v>
      </c>
      <c r="C22" s="4"/>
      <c r="D22" s="7" t="str">
        <f>IF(ISBLANK(C22),"",IF(C22&gt;=4,1,IF(C22&gt;=2,0.5,0)))</f>
        <v/>
      </c>
      <c r="E22" s="7" t="str">
        <f>IF(D22="","",IF(AND(E21=1,D21=1),1,0))</f>
        <v/>
      </c>
      <c r="F22" s="8" t="str">
        <f t="shared" si="1"/>
        <v/>
      </c>
      <c r="G22" s="7">
        <f t="shared" si="2"/>
        <v>0</v>
      </c>
      <c r="H22" s="7" t="str">
        <f>IF(AND(G22=1,G23=0),"SÍ","")</f>
        <v/>
      </c>
      <c r="I22" s="5"/>
    </row>
    <row r="23" spans="1:9" x14ac:dyDescent="0.3">
      <c r="A23" s="5" t="s">
        <v>33</v>
      </c>
      <c r="B23" s="6">
        <v>0.16</v>
      </c>
      <c r="C23" s="4"/>
      <c r="D23" s="7" t="str">
        <f>IF(ISBLANK(C23),"",IF(C23&gt;=4,1,IF(C23&gt;=2,0.5,0)))</f>
        <v/>
      </c>
      <c r="E23" s="7" t="str">
        <f>IF(D23="","",IF(AND(E22=1,D22=1),1,0))</f>
        <v/>
      </c>
      <c r="F23" s="8" t="str">
        <f t="shared" si="1"/>
        <v/>
      </c>
      <c r="G23" s="7">
        <f t="shared" si="2"/>
        <v>0</v>
      </c>
      <c r="H23" s="7" t="str">
        <f>IF(G23=1,"SÍ","")</f>
        <v/>
      </c>
      <c r="I23" s="5"/>
    </row>
    <row r="24" spans="1:9" x14ac:dyDescent="0.3">
      <c r="A24" s="5" t="s">
        <v>34</v>
      </c>
      <c r="B24" s="6">
        <v>2</v>
      </c>
      <c r="C24" s="4"/>
      <c r="D24" s="7" t="str">
        <f>IF(ISBLANK(C24),"",C24)</f>
        <v/>
      </c>
      <c r="E24" s="7" t="str">
        <f>IF(D24="","",1)</f>
        <v/>
      </c>
      <c r="F24" s="8" t="str">
        <f t="shared" si="1"/>
        <v/>
      </c>
      <c r="G24" s="7">
        <f t="shared" si="2"/>
        <v>0</v>
      </c>
      <c r="H24" s="7" t="str">
        <f>IF(AND(G24=1,G25=0),"SÍ","")</f>
        <v/>
      </c>
      <c r="I24" s="5"/>
    </row>
    <row r="25" spans="1:9" x14ac:dyDescent="0.3">
      <c r="A25" s="5" t="s">
        <v>35</v>
      </c>
      <c r="B25" s="6">
        <v>1</v>
      </c>
      <c r="C25" s="4"/>
      <c r="D25" s="7" t="str">
        <f>IF(ISBLANK(C25),"",C25)</f>
        <v/>
      </c>
      <c r="E25" s="7" t="str">
        <f>IF(D25="","",IF(AND(E24=1,D24=1),1,0))</f>
        <v/>
      </c>
      <c r="F25" s="8" t="str">
        <f t="shared" si="1"/>
        <v/>
      </c>
      <c r="G25" s="7">
        <f t="shared" si="2"/>
        <v>0</v>
      </c>
      <c r="H25" s="7" t="str">
        <f>IF(AND(G25=1,G26=0),"SÍ","")</f>
        <v/>
      </c>
      <c r="I25" s="5"/>
    </row>
    <row r="26" spans="1:9" x14ac:dyDescent="0.3">
      <c r="A26" s="5" t="s">
        <v>36</v>
      </c>
      <c r="B26" s="6">
        <v>0.75</v>
      </c>
      <c r="C26" s="4"/>
      <c r="D26" s="7" t="str">
        <f>IF(ISBLANK(C26),"",C26)</f>
        <v/>
      </c>
      <c r="E26" s="7" t="str">
        <f>IF(D26="","",IF(AND(E25=1,D25=1),1,0))</f>
        <v/>
      </c>
      <c r="F26" s="8" t="str">
        <f t="shared" si="1"/>
        <v/>
      </c>
      <c r="G26" s="7">
        <f t="shared" si="2"/>
        <v>0</v>
      </c>
      <c r="H26" s="7" t="str">
        <f>IF(AND(G26=1,G27=0),"SÍ","")</f>
        <v/>
      </c>
      <c r="I26" s="5"/>
    </row>
    <row r="27" spans="1:9" x14ac:dyDescent="0.3">
      <c r="A27" s="5" t="s">
        <v>37</v>
      </c>
      <c r="B27" s="6">
        <v>0.5</v>
      </c>
      <c r="C27" s="4"/>
      <c r="D27" s="7" t="str">
        <f>IF(ISBLANK(C27),"",C27)</f>
        <v/>
      </c>
      <c r="E27" s="7" t="str">
        <f>IF(D27="","",IF(AND(E26=1,D26=1),1,0))</f>
        <v/>
      </c>
      <c r="F27" s="8" t="str">
        <f t="shared" si="1"/>
        <v/>
      </c>
      <c r="G27" s="7">
        <f t="shared" si="2"/>
        <v>0</v>
      </c>
      <c r="H27" s="7" t="str">
        <f>IF(AND(G27=1,G28=0),"SÍ","")</f>
        <v/>
      </c>
      <c r="I27" s="5"/>
    </row>
    <row r="28" spans="1:9" x14ac:dyDescent="0.3">
      <c r="A28" s="5" t="s">
        <v>38</v>
      </c>
      <c r="B28" s="6">
        <v>0.25</v>
      </c>
      <c r="C28" s="4"/>
      <c r="D28" s="7" t="str">
        <f>IF(ISBLANK(C28),"",C28)</f>
        <v/>
      </c>
      <c r="E28" s="7" t="str">
        <f>IF(D28="","",IF(AND(E27=1,D27=1),1,0))</f>
        <v/>
      </c>
      <c r="F28" s="8" t="str">
        <f t="shared" si="1"/>
        <v/>
      </c>
      <c r="G28" s="7">
        <f t="shared" si="2"/>
        <v>0</v>
      </c>
      <c r="H28" s="7" t="str">
        <f>IF(G28=1,"SÍ","")</f>
        <v/>
      </c>
      <c r="I28" s="5"/>
    </row>
    <row r="30" spans="1:9" x14ac:dyDescent="0.3">
      <c r="A30" s="23" t="s">
        <v>39</v>
      </c>
      <c r="B30" s="24"/>
      <c r="C30" s="24"/>
      <c r="D30" s="24"/>
      <c r="E30" s="24"/>
      <c r="F30" s="24"/>
      <c r="G30" s="24"/>
      <c r="H30" s="24"/>
      <c r="I30" s="24"/>
    </row>
    <row r="31" spans="1:9" ht="45" customHeight="1" x14ac:dyDescent="0.3">
      <c r="A31" s="3" t="s">
        <v>40</v>
      </c>
      <c r="B31" s="3" t="s">
        <v>41</v>
      </c>
      <c r="C31" s="3" t="s">
        <v>42</v>
      </c>
      <c r="D31" s="3" t="s">
        <v>43</v>
      </c>
    </row>
    <row r="32" spans="1:9" x14ac:dyDescent="0.3">
      <c r="A32" s="5" t="s">
        <v>44</v>
      </c>
      <c r="B32" s="4"/>
      <c r="C32" s="9" t="s">
        <v>45</v>
      </c>
      <c r="D32" s="8" t="str">
        <f>IF(COUNT(C13:C18)&lt;6,"",IF(N(B32)=0,0,IF(COUNTIFS(G13:G18,1,D13:D18,0.5)=1,0.5+MIN(B32,SUM(G13:G18))-1,MIN(B32,SUM(G13:G18)))))</f>
        <v/>
      </c>
    </row>
    <row r="33" spans="1:9" x14ac:dyDescent="0.3">
      <c r="A33" s="5" t="s">
        <v>46</v>
      </c>
      <c r="B33" s="4"/>
      <c r="C33" s="9" t="s">
        <v>47</v>
      </c>
      <c r="D33" s="8" t="str">
        <f>IF(COUNT(C19:C23)&lt;5,"",IF(N(B33)=0,0,SUMPRODUCT((H19:H23="SÍ")*(D19:D23-0.5*((C19:C23-B33)&gt;=2)-0.5*((C19:C23-B33)&gt;=4)))))</f>
        <v/>
      </c>
    </row>
    <row r="34" spans="1:9" x14ac:dyDescent="0.3">
      <c r="A34" s="5" t="s">
        <v>48</v>
      </c>
      <c r="B34" s="4"/>
      <c r="C34" s="9" t="s">
        <v>49</v>
      </c>
      <c r="D34" s="8" t="str">
        <f>IF(COUNT(C24:C28)&lt;5,"",IF(N(B34)=0,0,IF(COUNTIFS(G24:G28,1,D24:D28,0.5)=1,0.5+MIN(B34,SUM(G24:G28))-1,MIN(B34,SUM(G24:G28)))))</f>
        <v/>
      </c>
    </row>
    <row r="35" spans="1:9" x14ac:dyDescent="0.3">
      <c r="A35" s="5" t="s">
        <v>50</v>
      </c>
      <c r="B35" s="4"/>
      <c r="C35" s="9" t="s">
        <v>51</v>
      </c>
      <c r="D35" s="9" t="s">
        <v>51</v>
      </c>
    </row>
    <row r="37" spans="1:9" x14ac:dyDescent="0.3">
      <c r="A37" s="23" t="s">
        <v>52</v>
      </c>
      <c r="B37" s="24"/>
      <c r="C37" s="24"/>
      <c r="D37" s="24"/>
      <c r="E37" s="24"/>
      <c r="F37" s="24"/>
      <c r="G37" s="24"/>
      <c r="H37" s="24"/>
      <c r="I37" s="24"/>
    </row>
    <row r="38" spans="1:9" ht="45" customHeight="1" x14ac:dyDescent="0.3">
      <c r="A38" s="3" t="s">
        <v>53</v>
      </c>
      <c r="B38" s="3" t="s">
        <v>54</v>
      </c>
      <c r="C38" s="3" t="s">
        <v>55</v>
      </c>
      <c r="D38" s="3" t="s">
        <v>56</v>
      </c>
      <c r="E38" s="3" t="s">
        <v>57</v>
      </c>
      <c r="F38" s="3" t="s">
        <v>58</v>
      </c>
      <c r="G38" s="3" t="s">
        <v>59</v>
      </c>
      <c r="H38" s="3" t="s">
        <v>60</v>
      </c>
      <c r="I38" s="3" t="s">
        <v>61</v>
      </c>
    </row>
    <row r="39" spans="1:9" x14ac:dyDescent="0.3">
      <c r="A39" s="10" t="s">
        <v>62</v>
      </c>
      <c r="B39" s="8" t="str">
        <f>IF(COUNT(C13:C18)&lt;6,"",SUM(F13:F18))</f>
        <v/>
      </c>
      <c r="C39" s="8" t="str">
        <f>IF(B39="","",D32)</f>
        <v/>
      </c>
      <c r="D39" s="11" t="str">
        <f>IF(B39="","",B39-C39)</f>
        <v/>
      </c>
      <c r="E39" s="9" t="s">
        <v>63</v>
      </c>
      <c r="F39" s="12" t="str">
        <f>IF(D39="","",IF(D39&gt;=4,"CUMPLE","NO CUMPLE"))</f>
        <v/>
      </c>
      <c r="G39" s="7" t="str">
        <f>IF(B39="","",IFERROR(INDEX(A13:A18,MATCH(1,INDEX((D13:D18&lt;1)*1,0),0)),"sin corte"))</f>
        <v/>
      </c>
      <c r="H39" s="13"/>
      <c r="I39" s="14" t="str">
        <f>IF(OR(D39="",ISBLANK(H39)),"",D39-H39)</f>
        <v/>
      </c>
    </row>
    <row r="40" spans="1:9" x14ac:dyDescent="0.3">
      <c r="A40" s="10" t="s">
        <v>64</v>
      </c>
      <c r="B40" s="8" t="str">
        <f>IF(COUNT(C19:C23)&lt;5,"",SUM(F19:F23))</f>
        <v/>
      </c>
      <c r="C40" s="8" t="str">
        <f>IF(B40="","",D33)</f>
        <v/>
      </c>
      <c r="D40" s="11" t="str">
        <f>IF(B40="","",B40-C40)</f>
        <v/>
      </c>
      <c r="E40" s="9" t="s">
        <v>65</v>
      </c>
      <c r="F40" s="12" t="str">
        <f>IF(D40="","",IF(D40&gt;=3,"CUMPLE","NO CUMPLE"))</f>
        <v/>
      </c>
      <c r="G40" s="7" t="str">
        <f>IF(B40="","",IFERROR(INDEX(A19:A23,MATCH(1,INDEX((D19:D23&lt;1)*1,0),0)),"sin corte"))</f>
        <v/>
      </c>
      <c r="H40" s="13"/>
      <c r="I40" s="14" t="str">
        <f>IF(OR(D40="",ISBLANK(H40)),"",D40-H40)</f>
        <v/>
      </c>
    </row>
    <row r="41" spans="1:9" x14ac:dyDescent="0.3">
      <c r="A41" s="10" t="s">
        <v>66</v>
      </c>
      <c r="B41" s="8" t="str">
        <f>IF(COUNT(C24:C28)&lt;5,"",SUM(F24:F28))</f>
        <v/>
      </c>
      <c r="C41" s="8" t="str">
        <f>IF(B41="","",D34)</f>
        <v/>
      </c>
      <c r="D41" s="11" t="str">
        <f>IF(B41="","",B41-C41)</f>
        <v/>
      </c>
      <c r="E41" s="9" t="s">
        <v>65</v>
      </c>
      <c r="F41" s="12" t="str">
        <f>IF(D41="","",IF(D41&gt;=3,"CUMPLE","NO CUMPLE"))</f>
        <v/>
      </c>
      <c r="G41" s="7" t="str">
        <f>IF(B41="","",IFERROR(INDEX(A24:A28,MATCH(1,INDEX((D24:D28&lt;1)*1,0),0)),"sin corte"))</f>
        <v/>
      </c>
      <c r="H41" s="13"/>
      <c r="I41" s="14" t="str">
        <f>IF(OR(D41="",ISBLANK(H41)),"",D41-H41)</f>
        <v/>
      </c>
    </row>
    <row r="44" spans="1:9" x14ac:dyDescent="0.3">
      <c r="A44" s="23" t="s">
        <v>67</v>
      </c>
      <c r="B44" s="24"/>
      <c r="C44" s="24"/>
      <c r="D44" s="24"/>
      <c r="E44" s="24"/>
      <c r="F44" s="24"/>
      <c r="G44" s="24"/>
      <c r="H44" s="24"/>
      <c r="I44" s="24"/>
    </row>
    <row r="45" spans="1:9" ht="45" customHeight="1" x14ac:dyDescent="0.3">
      <c r="A45" s="3" t="s">
        <v>68</v>
      </c>
      <c r="B45" s="3" t="s">
        <v>69</v>
      </c>
      <c r="C45" s="3" t="s">
        <v>70</v>
      </c>
      <c r="D45" s="3" t="s">
        <v>71</v>
      </c>
      <c r="E45" s="3" t="s">
        <v>22</v>
      </c>
    </row>
    <row r="46" spans="1:9" x14ac:dyDescent="0.3">
      <c r="A46" s="9">
        <v>1</v>
      </c>
      <c r="B46" s="5" t="s">
        <v>23</v>
      </c>
      <c r="C46" s="15"/>
      <c r="D46" s="13"/>
      <c r="E46" s="5"/>
    </row>
    <row r="47" spans="1:9" x14ac:dyDescent="0.3">
      <c r="A47" s="9">
        <v>2</v>
      </c>
      <c r="B47" s="5" t="s">
        <v>24</v>
      </c>
      <c r="C47" s="15"/>
      <c r="D47" s="13"/>
      <c r="E47" s="5"/>
    </row>
    <row r="48" spans="1:9" x14ac:dyDescent="0.3">
      <c r="A48" s="9">
        <v>3</v>
      </c>
      <c r="B48" s="5" t="s">
        <v>25</v>
      </c>
      <c r="C48" s="15"/>
      <c r="D48" s="13"/>
      <c r="E48" s="5"/>
    </row>
    <row r="49" spans="1:6" x14ac:dyDescent="0.3">
      <c r="A49" s="9">
        <v>4</v>
      </c>
      <c r="B49" s="5" t="s">
        <v>26</v>
      </c>
      <c r="C49" s="15"/>
      <c r="D49" s="13"/>
      <c r="E49" s="5"/>
    </row>
    <row r="50" spans="1:6" x14ac:dyDescent="0.3">
      <c r="A50" s="9">
        <v>5</v>
      </c>
      <c r="B50" s="5" t="s">
        <v>27</v>
      </c>
      <c r="C50" s="15"/>
      <c r="D50" s="13"/>
      <c r="E50" s="5"/>
    </row>
    <row r="51" spans="1:6" x14ac:dyDescent="0.3">
      <c r="A51" s="9">
        <v>6</v>
      </c>
      <c r="B51" s="5" t="s">
        <v>28</v>
      </c>
      <c r="C51" s="15"/>
      <c r="D51" s="13"/>
      <c r="E51" s="5"/>
    </row>
    <row r="52" spans="1:6" ht="28.8" x14ac:dyDescent="0.3">
      <c r="A52" s="9">
        <v>7</v>
      </c>
      <c r="B52" s="5" t="s">
        <v>29</v>
      </c>
      <c r="C52" s="15"/>
      <c r="D52" s="13"/>
      <c r="E52" s="5"/>
    </row>
    <row r="53" spans="1:6" ht="28.8" x14ac:dyDescent="0.3">
      <c r="A53" s="9">
        <v>8</v>
      </c>
      <c r="B53" s="5" t="s">
        <v>30</v>
      </c>
      <c r="C53" s="15"/>
      <c r="D53" s="13"/>
      <c r="E53" s="5"/>
    </row>
    <row r="54" spans="1:6" ht="28.8" x14ac:dyDescent="0.3">
      <c r="A54" s="9">
        <v>9</v>
      </c>
      <c r="B54" s="5" t="s">
        <v>31</v>
      </c>
      <c r="C54" s="15"/>
      <c r="D54" s="13"/>
      <c r="E54" s="5"/>
    </row>
    <row r="55" spans="1:6" ht="28.8" x14ac:dyDescent="0.3">
      <c r="A55" s="9">
        <v>10</v>
      </c>
      <c r="B55" s="5" t="s">
        <v>32</v>
      </c>
      <c r="C55" s="15"/>
      <c r="D55" s="13"/>
      <c r="E55" s="5"/>
    </row>
    <row r="56" spans="1:6" ht="28.8" x14ac:dyDescent="0.3">
      <c r="A56" s="9">
        <v>11</v>
      </c>
      <c r="B56" s="5" t="s">
        <v>33</v>
      </c>
      <c r="C56" s="15"/>
      <c r="D56" s="13"/>
      <c r="E56" s="5"/>
    </row>
    <row r="57" spans="1:6" x14ac:dyDescent="0.3">
      <c r="A57" s="9">
        <v>12</v>
      </c>
      <c r="B57" s="5" t="s">
        <v>34</v>
      </c>
      <c r="C57" s="15"/>
      <c r="D57" s="13"/>
      <c r="E57" s="5"/>
    </row>
    <row r="58" spans="1:6" x14ac:dyDescent="0.3">
      <c r="A58" s="9">
        <v>13</v>
      </c>
      <c r="B58" s="5" t="s">
        <v>35</v>
      </c>
      <c r="C58" s="15"/>
      <c r="D58" s="13"/>
      <c r="E58" s="5"/>
    </row>
    <row r="59" spans="1:6" x14ac:dyDescent="0.3">
      <c r="A59" s="9">
        <v>14</v>
      </c>
      <c r="B59" s="5" t="s">
        <v>36</v>
      </c>
      <c r="C59" s="15"/>
      <c r="D59" s="13"/>
      <c r="E59" s="5"/>
    </row>
    <row r="60" spans="1:6" x14ac:dyDescent="0.3">
      <c r="A60" s="9">
        <v>15</v>
      </c>
      <c r="B60" s="5" t="s">
        <v>37</v>
      </c>
      <c r="C60" s="15"/>
      <c r="D60" s="13"/>
      <c r="E60" s="5"/>
    </row>
    <row r="61" spans="1:6" x14ac:dyDescent="0.3">
      <c r="A61" s="9">
        <v>16</v>
      </c>
      <c r="B61" s="5" t="s">
        <v>38</v>
      </c>
      <c r="C61" s="15"/>
      <c r="D61" s="13"/>
      <c r="E61" s="5"/>
    </row>
    <row r="62" spans="1:6" ht="43.2" x14ac:dyDescent="0.3">
      <c r="C62" s="3" t="s">
        <v>166</v>
      </c>
      <c r="D62" s="3" t="s">
        <v>167</v>
      </c>
      <c r="E62" s="3" t="s">
        <v>168</v>
      </c>
      <c r="F62" s="3" t="s">
        <v>58</v>
      </c>
    </row>
    <row r="63" spans="1:6" x14ac:dyDescent="0.3">
      <c r="A63" s="26" t="s">
        <v>72</v>
      </c>
      <c r="B63" s="24"/>
      <c r="C63" s="17" t="str">
        <f>IF(COUNT(C46:C61)&lt;16,"",AVERAGE(C46:C61))</f>
        <v/>
      </c>
    </row>
    <row r="64" spans="1:6" x14ac:dyDescent="0.3">
      <c r="A64" s="26" t="s">
        <v>73</v>
      </c>
      <c r="B64" s="24"/>
      <c r="C64" s="17" t="str">
        <f>IF(COUNT(C46:C61)&lt;16,"",MAX(C46:C61))</f>
        <v/>
      </c>
    </row>
    <row r="65" spans="1:9" x14ac:dyDescent="0.3">
      <c r="A65" s="26" t="s">
        <v>57</v>
      </c>
      <c r="B65" s="24"/>
      <c r="C65" s="17" t="str">
        <f>IF(COUNT(C46:C61)&lt;16,"",MIN(C46:C61))</f>
        <v/>
      </c>
    </row>
    <row r="66" spans="1:9" x14ac:dyDescent="0.3">
      <c r="A66" s="26" t="s">
        <v>74</v>
      </c>
      <c r="B66" s="24"/>
      <c r="C66" s="17" t="str">
        <f>IF(C63="","",(C64-C65)/C63*100)</f>
        <v/>
      </c>
      <c r="D66" s="15"/>
      <c r="E66" s="17" t="str">
        <f>IF(OR(C66="",ISBLANK(D66)),"",C66-D66)</f>
        <v/>
      </c>
      <c r="F66" s="12" t="s">
        <v>169</v>
      </c>
    </row>
    <row r="67" spans="1:9" x14ac:dyDescent="0.3">
      <c r="A67" s="26" t="s">
        <v>76</v>
      </c>
      <c r="B67" s="24"/>
      <c r="C67" s="17" t="str">
        <f>IF(C63="","",STDEV(C46:C61)/C63*100)</f>
        <v/>
      </c>
      <c r="D67" s="15"/>
      <c r="E67" s="17" t="str">
        <f>IF(OR(C67="",ISBLANK(D67)),"",C67-D67)</f>
        <v/>
      </c>
      <c r="F67" s="12" t="s">
        <v>169</v>
      </c>
    </row>
    <row r="69" spans="1:9" ht="75" customHeight="1" x14ac:dyDescent="0.3">
      <c r="A69" s="29" t="s">
        <v>165</v>
      </c>
      <c r="B69" s="24"/>
      <c r="C69" s="24"/>
      <c r="D69" s="24"/>
      <c r="E69" s="24"/>
      <c r="F69" s="24"/>
      <c r="G69" s="24"/>
      <c r="H69" s="24"/>
      <c r="I69" s="24"/>
    </row>
  </sheetData>
  <mergeCells count="14">
    <mergeCell ref="A1:I1"/>
    <mergeCell ref="A66:B66"/>
    <mergeCell ref="B5:E5"/>
    <mergeCell ref="A69:I69"/>
    <mergeCell ref="A67:B67"/>
    <mergeCell ref="A30:I30"/>
    <mergeCell ref="A7:I7"/>
    <mergeCell ref="A2:I2"/>
    <mergeCell ref="A11:I11"/>
    <mergeCell ref="A64:B64"/>
    <mergeCell ref="A65:B65"/>
    <mergeCell ref="A37:I37"/>
    <mergeCell ref="A63:B63"/>
    <mergeCell ref="A44:I44"/>
  </mergeCells>
  <conditionalFormatting sqref="F39:F41">
    <cfRule type="cellIs" dxfId="11" priority="1" operator="equal">
      <formula>"CUMPLE"</formula>
    </cfRule>
    <cfRule type="cellIs" dxfId="10" priority="2" operator="equal">
      <formula>"NO CUMPLE"</formula>
    </cfRule>
    <cfRule type="cellIs" dxfId="9" priority="3" operator="equal">
      <formula>"SIN REFERENCIA"</formula>
    </cfRule>
  </conditionalFormatting>
  <dataValidations count="3">
    <dataValidation type="list" allowBlank="1" sqref="C13:C18 C24:C28" xr:uid="{00000000-0002-0000-0000-000000000000}">
      <formula1>"1,0.5,0"</formula1>
    </dataValidation>
    <dataValidation type="whole" allowBlank="1" sqref="C19:C23" xr:uid="{00000000-0002-0000-0000-000001000000}">
      <formula1>0</formula1>
      <formula2>6</formula2>
    </dataValidation>
    <dataValidation type="whole" operator="greaterThanOrEqual" allowBlank="1" sqref="B32:B35" xr:uid="{00000000-0002-0000-0000-000002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workbookViewId="0"/>
  </sheetViews>
  <sheetFormatPr defaultRowHeight="14.4" x14ac:dyDescent="0.3"/>
  <cols>
    <col min="1" max="1" width="34" customWidth="1"/>
    <col min="2" max="4" width="18" customWidth="1"/>
    <col min="5" max="5" width="14" customWidth="1"/>
    <col min="6" max="8" width="12" customWidth="1"/>
    <col min="9" max="10" width="14" customWidth="1"/>
    <col min="11" max="12" width="11" customWidth="1"/>
    <col min="13" max="13" width="15" customWidth="1"/>
    <col min="14" max="14" width="11" customWidth="1"/>
    <col min="15" max="17" width="12" customWidth="1"/>
  </cols>
  <sheetData>
    <row r="1" spans="1:17" ht="25.95" customHeight="1" x14ac:dyDescent="0.3">
      <c r="A1" s="27" t="s">
        <v>170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3">
      <c r="A2" s="25" t="s">
        <v>171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4" spans="1:17" ht="28.8" x14ac:dyDescent="0.3">
      <c r="A4" s="1" t="s">
        <v>1</v>
      </c>
      <c r="B4" s="2"/>
      <c r="D4" s="1" t="s">
        <v>2</v>
      </c>
      <c r="E4" s="2"/>
      <c r="G4" s="1" t="s">
        <v>162</v>
      </c>
      <c r="H4" s="2"/>
    </row>
    <row r="5" spans="1:17" ht="28.8" x14ac:dyDescent="0.3">
      <c r="A5" s="1" t="s">
        <v>3</v>
      </c>
      <c r="B5" s="28"/>
      <c r="C5" s="24"/>
      <c r="D5" s="24"/>
      <c r="E5" s="24"/>
      <c r="G5" s="1" t="s">
        <v>77</v>
      </c>
      <c r="H5" s="2"/>
    </row>
    <row r="8" spans="1:17" x14ac:dyDescent="0.3">
      <c r="A8" s="23" t="s">
        <v>78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ht="45" customHeight="1" x14ac:dyDescent="0.3">
      <c r="A9" s="3" t="s">
        <v>79</v>
      </c>
      <c r="B9" s="3" t="s">
        <v>80</v>
      </c>
      <c r="C9" s="3" t="s">
        <v>81</v>
      </c>
      <c r="D9" s="3" t="s">
        <v>6</v>
      </c>
      <c r="E9" s="3" t="s">
        <v>7</v>
      </c>
      <c r="F9" s="3" t="s">
        <v>9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10</v>
      </c>
      <c r="L9" s="3" t="s">
        <v>11</v>
      </c>
      <c r="M9" s="3" t="s">
        <v>164</v>
      </c>
      <c r="N9" s="3" t="s">
        <v>86</v>
      </c>
      <c r="O9" s="3" t="s">
        <v>87</v>
      </c>
      <c r="P9" s="3" t="s">
        <v>88</v>
      </c>
      <c r="Q9" s="3" t="s">
        <v>89</v>
      </c>
    </row>
    <row r="10" spans="1:17" x14ac:dyDescent="0.3">
      <c r="A10" s="9">
        <v>1</v>
      </c>
      <c r="B10" s="4"/>
      <c r="C10" s="4"/>
      <c r="D10" s="4"/>
      <c r="E10" s="4"/>
      <c r="F10" s="4"/>
      <c r="G10" s="15"/>
      <c r="H10" s="15"/>
      <c r="I10" s="18" t="str">
        <f>IF(OR(ISBLANK(G10),ISBLANK(H10)),"",G10*H10/1000)</f>
        <v/>
      </c>
      <c r="J10" s="4"/>
      <c r="K10" s="4"/>
      <c r="L10" s="4"/>
      <c r="M10" s="15"/>
      <c r="N10" s="15"/>
      <c r="O10" s="15"/>
      <c r="P10" s="15"/>
      <c r="Q10" s="19" t="str">
        <f>IF(OR(ISBLANK(O10),ISBLANK(P10)),"",O10/P10)</f>
        <v/>
      </c>
    </row>
    <row r="11" spans="1:17" x14ac:dyDescent="0.3">
      <c r="A11" s="9">
        <v>2</v>
      </c>
      <c r="B11" s="4"/>
      <c r="C11" s="4"/>
      <c r="D11" s="4"/>
      <c r="E11" s="4"/>
      <c r="F11" s="4"/>
      <c r="G11" s="15"/>
      <c r="H11" s="15"/>
      <c r="I11" s="18" t="str">
        <f>IF(OR(ISBLANK(G11),ISBLANK(H11)),"",G11*H11/1000)</f>
        <v/>
      </c>
      <c r="J11" s="4"/>
      <c r="K11" s="4"/>
      <c r="L11" s="4"/>
      <c r="M11" s="15"/>
      <c r="N11" s="15"/>
      <c r="O11" s="15"/>
      <c r="P11" s="15"/>
      <c r="Q11" s="19" t="str">
        <f>IF(OR(ISBLANK(O11),ISBLANK(P11)),"",O11/P11)</f>
        <v/>
      </c>
    </row>
    <row r="12" spans="1:17" x14ac:dyDescent="0.3">
      <c r="A12" s="9">
        <v>3</v>
      </c>
      <c r="B12" s="4"/>
      <c r="C12" s="4"/>
      <c r="D12" s="4"/>
      <c r="E12" s="4"/>
      <c r="F12" s="4"/>
      <c r="G12" s="15"/>
      <c r="H12" s="15"/>
      <c r="I12" s="18" t="str">
        <f>IF(OR(ISBLANK(G12),ISBLANK(H12)),"",G12*H12/1000)</f>
        <v/>
      </c>
      <c r="J12" s="4"/>
      <c r="K12" s="4"/>
      <c r="L12" s="4"/>
      <c r="M12" s="15"/>
      <c r="N12" s="15"/>
      <c r="O12" s="15"/>
      <c r="P12" s="15"/>
      <c r="Q12" s="19" t="str">
        <f>IF(OR(ISBLANK(O12),ISBLANK(P12)),"",O12/P12)</f>
        <v/>
      </c>
    </row>
    <row r="13" spans="1:17" x14ac:dyDescent="0.3">
      <c r="A13" s="9">
        <v>4</v>
      </c>
      <c r="B13" s="4"/>
      <c r="C13" s="4"/>
      <c r="D13" s="4"/>
      <c r="E13" s="4"/>
      <c r="F13" s="4"/>
      <c r="G13" s="15"/>
      <c r="H13" s="15"/>
      <c r="I13" s="18" t="str">
        <f>IF(OR(ISBLANK(G13),ISBLANK(H13)),"",G13*H13/1000)</f>
        <v/>
      </c>
      <c r="J13" s="4"/>
      <c r="K13" s="4"/>
      <c r="L13" s="4"/>
      <c r="M13" s="15"/>
      <c r="N13" s="15"/>
      <c r="O13" s="15"/>
      <c r="P13" s="15"/>
      <c r="Q13" s="19" t="str">
        <f>IF(OR(ISBLANK(O13),ISBLANK(P13)),"",O13/P13)</f>
        <v/>
      </c>
    </row>
    <row r="14" spans="1:17" x14ac:dyDescent="0.3">
      <c r="A14" s="9">
        <v>5</v>
      </c>
      <c r="B14" s="4"/>
      <c r="C14" s="4"/>
      <c r="D14" s="4"/>
      <c r="E14" s="4"/>
      <c r="F14" s="4"/>
      <c r="G14" s="15"/>
      <c r="H14" s="15"/>
      <c r="I14" s="18" t="str">
        <f>IF(OR(ISBLANK(G14),ISBLANK(H14)),"",G14*H14/1000)</f>
        <v/>
      </c>
      <c r="J14" s="4"/>
      <c r="K14" s="4"/>
      <c r="L14" s="4"/>
      <c r="M14" s="15"/>
      <c r="N14" s="15"/>
      <c r="O14" s="15"/>
      <c r="P14" s="15"/>
      <c r="Q14" s="19" t="str">
        <f>IF(OR(ISBLANK(O14),ISBLANK(P14)),"",O14/P14)</f>
        <v/>
      </c>
    </row>
    <row r="15" spans="1:17" x14ac:dyDescent="0.3">
      <c r="A15" s="16" t="s">
        <v>90</v>
      </c>
      <c r="H15" s="19" t="str">
        <f>IF(COUNT(H10:H14)&lt;5,"",AVERAGE(H10:H14))</f>
        <v/>
      </c>
      <c r="I15" s="17" t="str">
        <f>IF(COUNT(I10:I14)&lt;5,"",AVERAGE(I10:I14))</f>
        <v/>
      </c>
      <c r="M15" s="17" t="str">
        <f>IF(COUNT(M10:M14)&lt;5,"",AVERAGE(M10:M14))</f>
        <v/>
      </c>
      <c r="N15" s="19" t="str">
        <f>IF(COUNT(N10:N14)&lt;5,"",AVERAGE(N10:N14))</f>
        <v/>
      </c>
      <c r="O15" s="19" t="str">
        <f>IF(COUNT(O10:O14)&lt;5,"",AVERAGE(O10:O14))</f>
        <v/>
      </c>
      <c r="P15" s="19" t="str">
        <f>IF(COUNT(P10:P14)&lt;5,"",AVERAGE(P10:P14))</f>
        <v/>
      </c>
      <c r="Q15" s="17" t="str">
        <f>IF(COUNT(Q10:Q14)&lt;5,"",AVERAGE(Q10:Q14))</f>
        <v/>
      </c>
    </row>
    <row r="16" spans="1:17" x14ac:dyDescent="0.3">
      <c r="A16" s="16" t="s">
        <v>91</v>
      </c>
      <c r="H16" s="19" t="str">
        <f>IF(COUNT(H10:H14)&lt;5,"",STDEV(H10:H14)/AVERAGE(H10:H14)*100)</f>
        <v/>
      </c>
      <c r="I16" s="17" t="str">
        <f>IF(COUNT(I10:I14)&lt;5,"",STDEV(I10:I14)/AVERAGE(I10:I14)*100)</f>
        <v/>
      </c>
      <c r="M16" s="17" t="str">
        <f>IF(COUNT(M10:M14)&lt;5,"",STDEV(M10:M14)/AVERAGE(M10:M14)*100)</f>
        <v/>
      </c>
      <c r="N16" s="19" t="str">
        <f>IF(COUNT(N10:N14)&lt;5,"",STDEV(N10:N14)/AVERAGE(N10:N14)*100)</f>
        <v/>
      </c>
      <c r="O16" s="19" t="str">
        <f>IF(COUNT(O10:O14)&lt;5,"",STDEV(O10:O14)/AVERAGE(O10:O14)*100)</f>
        <v/>
      </c>
      <c r="P16" s="19" t="str">
        <f>IF(COUNT(P10:P14)&lt;5,"",STDEV(P10:P14)/AVERAGE(P10:P14)*100)</f>
        <v/>
      </c>
      <c r="Q16" s="17" t="str">
        <f>IF(COUNT(Q10:Q14)&lt;5,"",STDEV(Q10:Q14)/AVERAGE(Q10:Q14)*100)</f>
        <v/>
      </c>
    </row>
    <row r="17" spans="1:17" x14ac:dyDescent="0.3">
      <c r="A17" s="16" t="s">
        <v>92</v>
      </c>
      <c r="H17" s="19" t="str">
        <f>IF(COUNT(H10:H14)&lt;5,"",MAX(MAX(H10:H14)-AVERAGE(H10:H14),AVERAGE(H10:H14)-MIN(H10:H14))/AVERAGE(H10:H14)*100)</f>
        <v/>
      </c>
      <c r="I17" s="17" t="str">
        <f>IF(COUNT(I10:I14)&lt;5,"",MAX(MAX(I10:I14)-AVERAGE(I10:I14),AVERAGE(I10:I14)-MIN(I10:I14))/AVERAGE(I10:I14)*100)</f>
        <v/>
      </c>
      <c r="M17" s="17" t="str">
        <f>IF(COUNT(M10:M14)&lt;5,"",MAX(MAX(M10:M14)-AVERAGE(M10:M14),AVERAGE(M10:M14)-MIN(M10:M14))/AVERAGE(M10:M14)*100)</f>
        <v/>
      </c>
      <c r="N17" s="19" t="str">
        <f>IF(COUNT(N10:N14)&lt;5,"",MAX(MAX(N10:N14)-AVERAGE(N10:N14),AVERAGE(N10:N14)-MIN(N10:N14))/AVERAGE(N10:N14)*100)</f>
        <v/>
      </c>
      <c r="O17" s="19" t="str">
        <f>IF(COUNT(O10:O14)&lt;5,"",MAX(MAX(O10:O14)-AVERAGE(O10:O14),AVERAGE(O10:O14)-MIN(O10:O14))/AVERAGE(O10:O14)*100)</f>
        <v/>
      </c>
      <c r="P17" s="19" t="str">
        <f>IF(COUNT(P10:P14)&lt;5,"",MAX(MAX(P10:P14)-AVERAGE(P10:P14),AVERAGE(P10:P14)-MIN(P10:P14))/AVERAGE(P10:P14)*100)</f>
        <v/>
      </c>
      <c r="Q17" s="17" t="str">
        <f>IF(COUNT(Q10:Q14)&lt;5,"",MAX(MAX(Q10:Q14)-AVERAGE(Q10:Q14),AVERAGE(Q10:Q14)-MIN(Q10:Q14))/AVERAGE(Q10:Q14)*100)</f>
        <v/>
      </c>
    </row>
    <row r="19" spans="1:17" x14ac:dyDescent="0.3">
      <c r="A19" s="23" t="s">
        <v>172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45" customHeight="1" x14ac:dyDescent="0.3">
      <c r="A20" s="3" t="s">
        <v>93</v>
      </c>
      <c r="B20" s="3" t="s">
        <v>94</v>
      </c>
      <c r="C20" s="3" t="s">
        <v>95</v>
      </c>
      <c r="D20" s="3" t="s">
        <v>58</v>
      </c>
    </row>
    <row r="21" spans="1:17" ht="43.2" x14ac:dyDescent="0.3">
      <c r="A21" s="5" t="s">
        <v>96</v>
      </c>
      <c r="B21" s="19" t="str">
        <f>IF(COUNTA(D10:D14)&lt;5,"",IF(AND(COUNTIF(D10:D14,D10)=5,COUNTIF(E10:E14,E10)=5,COUNTIF(F10:F14,F10)=5),"1 combinación","varias"))</f>
        <v/>
      </c>
      <c r="C21" s="9" t="s">
        <v>97</v>
      </c>
      <c r="D21" s="12" t="str">
        <f>IF(B21="","",IF(B21="1 combinación","CUMPLE","NO CUMPLE"))</f>
        <v/>
      </c>
    </row>
    <row r="22" spans="1:17" x14ac:dyDescent="0.3">
      <c r="A22" s="5" t="s">
        <v>98</v>
      </c>
      <c r="B22" s="19" t="str">
        <f>I16</f>
        <v/>
      </c>
      <c r="C22" s="9" t="s">
        <v>99</v>
      </c>
      <c r="D22" s="12" t="str">
        <f>IF(B22="","",IF(B22&lt;=5,"CUMPLE","NO CUMPLE"))</f>
        <v/>
      </c>
    </row>
    <row r="23" spans="1:17" x14ac:dyDescent="0.3">
      <c r="A23" s="5" t="s">
        <v>136</v>
      </c>
      <c r="B23" s="19" t="str">
        <f>M16</f>
        <v/>
      </c>
      <c r="C23" s="9" t="s">
        <v>99</v>
      </c>
      <c r="D23" s="12" t="str">
        <f>IF(B23="","",IF(B23&lt;=5,"CUMPLE","NO CUMPLE"))</f>
        <v/>
      </c>
    </row>
    <row r="24" spans="1:17" x14ac:dyDescent="0.3">
      <c r="A24" s="5" t="s">
        <v>100</v>
      </c>
      <c r="B24" s="19" t="str">
        <f>Q16</f>
        <v/>
      </c>
      <c r="C24" s="9" t="s">
        <v>99</v>
      </c>
      <c r="D24" s="12" t="str">
        <f>IF(B24="","",IF(B24&lt;=5,"CUMPLE","NO CUMPLE"))</f>
        <v/>
      </c>
    </row>
    <row r="27" spans="1:17" x14ac:dyDescent="0.3">
      <c r="A27" s="23" t="s">
        <v>101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7" ht="28.8" x14ac:dyDescent="0.3">
      <c r="A28" s="20" t="s">
        <v>102</v>
      </c>
    </row>
    <row r="29" spans="1:17" x14ac:dyDescent="0.3">
      <c r="A29" s="16" t="s">
        <v>103</v>
      </c>
      <c r="B29" s="28"/>
      <c r="C29" s="24"/>
      <c r="D29" s="24"/>
      <c r="E29" s="24"/>
      <c r="F29" s="24"/>
    </row>
    <row r="30" spans="1:17" ht="45" customHeight="1" x14ac:dyDescent="0.3">
      <c r="A30" s="3" t="s">
        <v>104</v>
      </c>
      <c r="B30" s="3" t="s">
        <v>105</v>
      </c>
      <c r="C30" s="3" t="s">
        <v>106</v>
      </c>
      <c r="D30" s="3" t="s">
        <v>107</v>
      </c>
      <c r="E30" s="3" t="s">
        <v>95</v>
      </c>
      <c r="F30" s="3" t="s">
        <v>58</v>
      </c>
    </row>
    <row r="31" spans="1:17" x14ac:dyDescent="0.3">
      <c r="A31" s="5" t="s">
        <v>108</v>
      </c>
      <c r="B31" s="18" t="str">
        <f>I15</f>
        <v/>
      </c>
      <c r="C31" s="21"/>
      <c r="D31" s="22" t="str">
        <f>IF(OR(B31="",ISBLANK(C31)),"",(B31-C31)/C31*100)</f>
        <v/>
      </c>
      <c r="E31" s="9" t="s">
        <v>109</v>
      </c>
      <c r="F31" s="12" t="str">
        <f>IF(B31="","",IF(ISBLANK(C31),"SIN REFERENCIA",IF(ABS(D31)&lt;=15,"CUMPLE","NO CUMPLE")))</f>
        <v/>
      </c>
    </row>
    <row r="32" spans="1:17" x14ac:dyDescent="0.3">
      <c r="A32" s="5" t="s">
        <v>135</v>
      </c>
      <c r="B32" s="18" t="str">
        <f>M15</f>
        <v/>
      </c>
      <c r="C32" s="21"/>
      <c r="D32" s="22" t="str">
        <f>IF(OR(B32="",ISBLANK(C32)),"",(B32-C32)/C32*100)</f>
        <v/>
      </c>
      <c r="E32" s="9" t="s">
        <v>109</v>
      </c>
      <c r="F32" s="12" t="str">
        <f>IF(B32="","",IF(ISBLANK(C32),"SIN REFERENCIA",IF(ABS(D32)&lt;=15,"CUMPLE","NO CUMPLE")))</f>
        <v/>
      </c>
    </row>
    <row r="33" spans="1:17" x14ac:dyDescent="0.3">
      <c r="A33" s="5" t="s">
        <v>110</v>
      </c>
      <c r="B33" s="18" t="str">
        <f>Q15</f>
        <v/>
      </c>
      <c r="C33" s="21"/>
      <c r="D33" s="22" t="str">
        <f>IF(OR(B33="",ISBLANK(C33)),"",(B33-C33)/C33*100)</f>
        <v/>
      </c>
      <c r="E33" s="9" t="s">
        <v>109</v>
      </c>
      <c r="F33" s="12" t="str">
        <f>IF(B33="","",IF(ISBLANK(C33),"SIN REFERENCIA",IF(ABS(D33)&lt;=15,"CUMPLE","NO CUMPLE")))</f>
        <v/>
      </c>
    </row>
    <row r="35" spans="1:17" ht="60" customHeight="1" x14ac:dyDescent="0.3">
      <c r="A35" s="29" t="s">
        <v>173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</sheetData>
  <mergeCells count="8">
    <mergeCell ref="A1:Q1"/>
    <mergeCell ref="A8:Q8"/>
    <mergeCell ref="B29:F29"/>
    <mergeCell ref="A27:Q27"/>
    <mergeCell ref="A35:Q35"/>
    <mergeCell ref="A2:Q2"/>
    <mergeCell ref="B5:E5"/>
    <mergeCell ref="A19:Q19"/>
  </mergeCells>
  <conditionalFormatting sqref="D21:D24">
    <cfRule type="cellIs" dxfId="8" priority="1" operator="equal">
      <formula>"CUMPLE"</formula>
    </cfRule>
    <cfRule type="cellIs" dxfId="7" priority="2" operator="equal">
      <formula>"NO CUMPLE"</formula>
    </cfRule>
    <cfRule type="cellIs" dxfId="6" priority="3" operator="equal">
      <formula>"SIN REFERENCIA"</formula>
    </cfRule>
  </conditionalFormatting>
  <conditionalFormatting sqref="F31:F33">
    <cfRule type="cellIs" dxfId="5" priority="4" operator="equal">
      <formula>"CUMPLE"</formula>
    </cfRule>
    <cfRule type="cellIs" dxfId="4" priority="5" operator="equal">
      <formula>"NO CUMPLE"</formula>
    </cfRule>
    <cfRule type="cellIs" dxfId="3" priority="6" operator="equal">
      <formula>"SIN REFERENCIA"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/>
  </sheetViews>
  <sheetFormatPr defaultRowHeight="14.4" x14ac:dyDescent="0.3"/>
  <cols>
    <col min="1" max="1" width="8" customWidth="1"/>
    <col min="2" max="2" width="22" customWidth="1"/>
    <col min="3" max="3" width="13" customWidth="1"/>
    <col min="4" max="4" width="8" customWidth="1"/>
    <col min="5" max="8" width="12" customWidth="1"/>
    <col min="9" max="10" width="11" customWidth="1"/>
    <col min="11" max="13" width="12" customWidth="1"/>
    <col min="14" max="14" width="30" customWidth="1"/>
  </cols>
  <sheetData>
    <row r="1" spans="1:14" ht="25.95" customHeight="1" x14ac:dyDescent="0.3">
      <c r="A1" s="27" t="s">
        <v>174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">
      <c r="A2" s="25" t="s">
        <v>175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57.6" x14ac:dyDescent="0.3">
      <c r="A4" s="1" t="s">
        <v>1</v>
      </c>
      <c r="B4" s="2"/>
      <c r="D4" s="1" t="s">
        <v>2</v>
      </c>
      <c r="E4" s="2"/>
      <c r="G4" s="1" t="s">
        <v>162</v>
      </c>
      <c r="H4" s="2"/>
    </row>
    <row r="5" spans="1:14" ht="72" x14ac:dyDescent="0.3">
      <c r="A5" s="1" t="s">
        <v>3</v>
      </c>
      <c r="B5" s="28"/>
      <c r="C5" s="24"/>
      <c r="D5" s="24"/>
      <c r="E5" s="24"/>
    </row>
    <row r="8" spans="1:14" x14ac:dyDescent="0.3">
      <c r="A8" s="23" t="s">
        <v>111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45" customHeight="1" x14ac:dyDescent="0.3">
      <c r="A9" s="3" t="s">
        <v>112</v>
      </c>
      <c r="B9" s="3" t="s">
        <v>113</v>
      </c>
      <c r="C9" s="3" t="s">
        <v>114</v>
      </c>
      <c r="D9" s="3" t="s">
        <v>6</v>
      </c>
      <c r="E9" s="3" t="s">
        <v>7</v>
      </c>
      <c r="F9" s="3" t="s">
        <v>82</v>
      </c>
      <c r="G9" s="3" t="s">
        <v>83</v>
      </c>
      <c r="H9" s="3" t="s">
        <v>108</v>
      </c>
      <c r="I9" s="3" t="s">
        <v>164</v>
      </c>
      <c r="J9" s="3" t="s">
        <v>86</v>
      </c>
      <c r="K9" s="3" t="s">
        <v>87</v>
      </c>
      <c r="L9" s="3" t="s">
        <v>88</v>
      </c>
      <c r="M9" s="3" t="s">
        <v>89</v>
      </c>
      <c r="N9" s="3" t="s">
        <v>80</v>
      </c>
    </row>
    <row r="10" spans="1:14" x14ac:dyDescent="0.3">
      <c r="A10" s="9">
        <v>1</v>
      </c>
      <c r="B10" s="4"/>
      <c r="C10" s="15"/>
      <c r="D10" s="4"/>
      <c r="E10" s="4"/>
      <c r="F10" s="15"/>
      <c r="G10" s="15"/>
      <c r="H10" s="18" t="str">
        <f>IF(OR(ISBLANK(F10),ISBLANK(G10)),"",F10*G10/1000)</f>
        <v/>
      </c>
      <c r="I10" s="15"/>
      <c r="J10" s="15"/>
      <c r="K10" s="15"/>
      <c r="L10" s="15"/>
      <c r="M10" s="19" t="str">
        <f>IF(OR(ISBLANK(K10),ISBLANK(L10)),"",K10/L10)</f>
        <v/>
      </c>
      <c r="N10" s="4"/>
    </row>
    <row r="11" spans="1:14" x14ac:dyDescent="0.3">
      <c r="A11" s="9">
        <v>2</v>
      </c>
      <c r="B11" s="4"/>
      <c r="C11" s="15"/>
      <c r="D11" s="4"/>
      <c r="E11" s="4"/>
      <c r="F11" s="15"/>
      <c r="G11" s="15"/>
      <c r="H11" s="18" t="str">
        <f>IF(OR(ISBLANK(F11),ISBLANK(G11)),"",F11*G11/1000)</f>
        <v/>
      </c>
      <c r="I11" s="15"/>
      <c r="J11" s="15"/>
      <c r="K11" s="15"/>
      <c r="L11" s="15"/>
      <c r="M11" s="19" t="str">
        <f>IF(OR(ISBLANK(K11),ISBLANK(L11)),"",K11/L11)</f>
        <v/>
      </c>
      <c r="N11" s="4"/>
    </row>
    <row r="12" spans="1:14" x14ac:dyDescent="0.3">
      <c r="A12" s="9">
        <v>3</v>
      </c>
      <c r="B12" s="4"/>
      <c r="C12" s="15"/>
      <c r="D12" s="4"/>
      <c r="E12" s="4"/>
      <c r="F12" s="15"/>
      <c r="G12" s="15"/>
      <c r="H12" s="18" t="str">
        <f>IF(OR(ISBLANK(F12),ISBLANK(G12)),"",F12*G12/1000)</f>
        <v/>
      </c>
      <c r="I12" s="15"/>
      <c r="J12" s="15"/>
      <c r="K12" s="15"/>
      <c r="L12" s="15"/>
      <c r="M12" s="19" t="str">
        <f>IF(OR(ISBLANK(K12),ISBLANK(L12)),"",K12/L12)</f>
        <v/>
      </c>
      <c r="N12" s="4"/>
    </row>
    <row r="13" spans="1:14" x14ac:dyDescent="0.3">
      <c r="A13" s="9">
        <v>4</v>
      </c>
      <c r="B13" s="4"/>
      <c r="C13" s="15"/>
      <c r="D13" s="4"/>
      <c r="E13" s="4"/>
      <c r="F13" s="15"/>
      <c r="G13" s="15"/>
      <c r="H13" s="18" t="str">
        <f>IF(OR(ISBLANK(F13),ISBLANK(G13)),"",F13*G13/1000)</f>
        <v/>
      </c>
      <c r="I13" s="15"/>
      <c r="J13" s="15"/>
      <c r="K13" s="15"/>
      <c r="L13" s="15"/>
      <c r="M13" s="19" t="str">
        <f>IF(OR(ISBLANK(K13),ISBLANK(L13)),"",K13/L13)</f>
        <v/>
      </c>
      <c r="N13" s="4"/>
    </row>
    <row r="14" spans="1:14" x14ac:dyDescent="0.3">
      <c r="A14" s="9">
        <v>5</v>
      </c>
      <c r="B14" s="4"/>
      <c r="C14" s="15"/>
      <c r="D14" s="4"/>
      <c r="E14" s="4"/>
      <c r="F14" s="15"/>
      <c r="G14" s="15"/>
      <c r="H14" s="18" t="str">
        <f>IF(OR(ISBLANK(F14),ISBLANK(G14)),"",F14*G14/1000)</f>
        <v/>
      </c>
      <c r="I14" s="15"/>
      <c r="J14" s="15"/>
      <c r="K14" s="15"/>
      <c r="L14" s="15"/>
      <c r="M14" s="19" t="str">
        <f>IF(OR(ISBLANK(K14),ISBLANK(L14)),"",K14/L14)</f>
        <v/>
      </c>
      <c r="N14" s="4"/>
    </row>
    <row r="16" spans="1:14" ht="57.6" x14ac:dyDescent="0.3">
      <c r="A16" s="16" t="s">
        <v>115</v>
      </c>
      <c r="B16" s="30" t="str">
        <f>IF(COUNT(C10:C14)&lt;2,"",IF(SUMPRODUCT((C10:C14&lt;&gt;"")/COUNTIF(C10:C14,C10:C14&amp;""))&lt;COUNTA(C10:C14),"Hay espesores repetidos: no son tomas a espesores distintos, repetir una","Espesores distintos"))</f>
        <v/>
      </c>
      <c r="C16" s="24"/>
      <c r="D16" s="24"/>
      <c r="E16" s="24"/>
      <c r="F16" s="24"/>
    </row>
    <row r="18" spans="1:14" ht="60" customHeight="1" x14ac:dyDescent="0.3">
      <c r="A18" s="29" t="s">
        <v>176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</sheetData>
  <mergeCells count="6">
    <mergeCell ref="A1:N1"/>
    <mergeCell ref="A18:N18"/>
    <mergeCell ref="A8:N8"/>
    <mergeCell ref="B16:F16"/>
    <mergeCell ref="A2:N2"/>
    <mergeCell ref="B5:E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/>
  </sheetViews>
  <sheetFormatPr defaultRowHeight="14.4" x14ac:dyDescent="0.3"/>
  <cols>
    <col min="1" max="1" width="42" customWidth="1"/>
    <col min="2" max="3" width="16" customWidth="1"/>
    <col min="4" max="4" width="18" customWidth="1"/>
    <col min="5" max="5" width="34" customWidth="1"/>
  </cols>
  <sheetData>
    <row r="1" spans="1:5" ht="24" customHeight="1" x14ac:dyDescent="0.3">
      <c r="A1" s="31" t="s">
        <v>116</v>
      </c>
      <c r="B1" s="24"/>
      <c r="C1" s="24"/>
      <c r="D1" s="24"/>
      <c r="E1" s="24"/>
    </row>
    <row r="3" spans="1:5" ht="45" customHeight="1" x14ac:dyDescent="0.3">
      <c r="A3" s="3" t="s">
        <v>117</v>
      </c>
      <c r="B3" s="3" t="s">
        <v>118</v>
      </c>
      <c r="C3" s="3" t="s">
        <v>95</v>
      </c>
      <c r="D3" s="3" t="s">
        <v>58</v>
      </c>
      <c r="E3" s="3" t="s">
        <v>119</v>
      </c>
    </row>
    <row r="4" spans="1:5" x14ac:dyDescent="0.3">
      <c r="A4" s="5" t="s">
        <v>137</v>
      </c>
      <c r="B4" s="6" t="str">
        <f>Calidad_imagen!D39</f>
        <v/>
      </c>
      <c r="C4" s="9" t="s">
        <v>63</v>
      </c>
      <c r="D4" s="12" t="str">
        <f>Calidad_imagen!F39</f>
        <v/>
      </c>
      <c r="E4" s="5" t="s">
        <v>120</v>
      </c>
    </row>
    <row r="5" spans="1:5" ht="28.8" x14ac:dyDescent="0.3">
      <c r="A5" s="5" t="s">
        <v>138</v>
      </c>
      <c r="B5" s="6" t="str">
        <f>Calidad_imagen!D40</f>
        <v/>
      </c>
      <c r="C5" s="9" t="s">
        <v>65</v>
      </c>
      <c r="D5" s="12" t="str">
        <f>Calidad_imagen!F40</f>
        <v/>
      </c>
      <c r="E5" s="5" t="s">
        <v>120</v>
      </c>
    </row>
    <row r="6" spans="1:5" x14ac:dyDescent="0.3">
      <c r="A6" s="5" t="s">
        <v>139</v>
      </c>
      <c r="B6" s="6" t="str">
        <f>Calidad_imagen!D41</f>
        <v/>
      </c>
      <c r="C6" s="9" t="s">
        <v>65</v>
      </c>
      <c r="D6" s="12" t="str">
        <f>Calidad_imagen!F41</f>
        <v/>
      </c>
      <c r="E6" s="5" t="s">
        <v>120</v>
      </c>
    </row>
    <row r="7" spans="1:5" x14ac:dyDescent="0.3">
      <c r="A7" s="5" t="s">
        <v>140</v>
      </c>
      <c r="B7" s="6" t="str">
        <f>Calidad_imagen!C66</f>
        <v/>
      </c>
      <c r="C7" s="9" t="s">
        <v>121</v>
      </c>
      <c r="D7" s="12" t="s">
        <v>75</v>
      </c>
      <c r="E7" s="5" t="s">
        <v>122</v>
      </c>
    </row>
    <row r="8" spans="1:5" x14ac:dyDescent="0.3">
      <c r="A8" s="5" t="s">
        <v>141</v>
      </c>
      <c r="B8" s="6" t="str">
        <f>Calidad_imagen!C67</f>
        <v/>
      </c>
      <c r="C8" s="9" t="s">
        <v>121</v>
      </c>
      <c r="D8" s="12" t="s">
        <v>75</v>
      </c>
      <c r="E8" s="5" t="s">
        <v>122</v>
      </c>
    </row>
    <row r="9" spans="1:5" ht="28.8" x14ac:dyDescent="0.3">
      <c r="A9" s="5" t="s">
        <v>142</v>
      </c>
      <c r="B9" s="6" t="str">
        <f>CAE_repetibilidad!B21</f>
        <v/>
      </c>
      <c r="C9" s="9" t="s">
        <v>97</v>
      </c>
      <c r="D9" s="12" t="str">
        <f>CAE_repetibilidad!D21</f>
        <v/>
      </c>
      <c r="E9" s="5" t="s">
        <v>143</v>
      </c>
    </row>
    <row r="10" spans="1:5" ht="28.8" x14ac:dyDescent="0.3">
      <c r="A10" s="5" t="s">
        <v>144</v>
      </c>
      <c r="B10" s="6" t="str">
        <f>CAE_repetibilidad!B22</f>
        <v/>
      </c>
      <c r="C10" s="9" t="s">
        <v>99</v>
      </c>
      <c r="D10" s="12" t="str">
        <f>CAE_repetibilidad!D22</f>
        <v/>
      </c>
      <c r="E10" s="5" t="s">
        <v>177</v>
      </c>
    </row>
    <row r="11" spans="1:5" ht="28.8" x14ac:dyDescent="0.3">
      <c r="A11" s="5" t="s">
        <v>145</v>
      </c>
      <c r="B11" s="6" t="str">
        <f>CAE_repetibilidad!B23</f>
        <v/>
      </c>
      <c r="C11" s="9" t="s">
        <v>99</v>
      </c>
      <c r="D11" s="12" t="str">
        <f>CAE_repetibilidad!D23</f>
        <v/>
      </c>
      <c r="E11" s="5" t="s">
        <v>177</v>
      </c>
    </row>
    <row r="12" spans="1:5" ht="28.8" x14ac:dyDescent="0.3">
      <c r="A12" s="5" t="s">
        <v>146</v>
      </c>
      <c r="B12" s="6" t="str">
        <f>CAE_repetibilidad!B24</f>
        <v/>
      </c>
      <c r="C12" s="9" t="s">
        <v>99</v>
      </c>
      <c r="D12" s="12" t="str">
        <f>CAE_repetibilidad!D24</f>
        <v/>
      </c>
      <c r="E12" s="5" t="s">
        <v>177</v>
      </c>
    </row>
    <row r="13" spans="1:5" ht="28.8" x14ac:dyDescent="0.3">
      <c r="A13" s="5" t="s">
        <v>147</v>
      </c>
      <c r="B13" s="6" t="str">
        <f>CAE_repetibilidad!D31</f>
        <v/>
      </c>
      <c r="C13" s="9" t="s">
        <v>109</v>
      </c>
      <c r="D13" s="12" t="str">
        <f>CAE_repetibilidad!F31</f>
        <v/>
      </c>
      <c r="E13" s="5" t="s">
        <v>148</v>
      </c>
    </row>
    <row r="14" spans="1:5" ht="28.8" x14ac:dyDescent="0.3">
      <c r="A14" s="5" t="s">
        <v>149</v>
      </c>
      <c r="B14" s="6" t="str">
        <f>CAE_repetibilidad!D32</f>
        <v/>
      </c>
      <c r="C14" s="9" t="s">
        <v>109</v>
      </c>
      <c r="D14" s="12" t="str">
        <f>CAE_repetibilidad!F32</f>
        <v/>
      </c>
      <c r="E14" s="5" t="s">
        <v>148</v>
      </c>
    </row>
    <row r="15" spans="1:5" ht="28.8" x14ac:dyDescent="0.3">
      <c r="A15" s="5" t="s">
        <v>150</v>
      </c>
      <c r="B15" s="6" t="str">
        <f>CAE_repetibilidad!D33</f>
        <v/>
      </c>
      <c r="C15" s="9" t="s">
        <v>109</v>
      </c>
      <c r="D15" s="12" t="str">
        <f>CAE_repetibilidad!F33</f>
        <v/>
      </c>
      <c r="E15" s="5" t="s">
        <v>148</v>
      </c>
    </row>
    <row r="16" spans="1:5" ht="28.8" x14ac:dyDescent="0.3">
      <c r="A16" s="5" t="s">
        <v>151</v>
      </c>
      <c r="B16" s="6" t="s">
        <v>123</v>
      </c>
      <c r="C16" s="9" t="s">
        <v>124</v>
      </c>
      <c r="D16" s="12" t="s">
        <v>75</v>
      </c>
      <c r="E16" s="5" t="s">
        <v>152</v>
      </c>
    </row>
    <row r="18" spans="1:5" x14ac:dyDescent="0.3">
      <c r="A18" s="26" t="s">
        <v>125</v>
      </c>
      <c r="B18" s="32" t="str">
        <f>IF(COUNTIF(D4:D15,"NO CUMPLE")&gt;0,"EQUIPO REQUIERE INTERVENCIÓN / REVISIÓN",IF(COUNTIF(D4:D15,"CUMPLE")=0,"SIN DATOS","CUMPLE LOS CRITERIOS EVALUADOS"))</f>
        <v>SIN DATOS</v>
      </c>
      <c r="C18" s="24"/>
      <c r="D18" s="24"/>
      <c r="E18" s="24"/>
    </row>
    <row r="20" spans="1:5" ht="45" customHeight="1" x14ac:dyDescent="0.3">
      <c r="A20" s="29" t="s">
        <v>178</v>
      </c>
      <c r="B20" s="24"/>
      <c r="C20" s="24"/>
      <c r="D20" s="24"/>
      <c r="E20" s="24"/>
    </row>
  </sheetData>
  <mergeCells count="4">
    <mergeCell ref="A20:E20"/>
    <mergeCell ref="A1:E1"/>
    <mergeCell ref="A18"/>
    <mergeCell ref="B18:E18"/>
  </mergeCells>
  <conditionalFormatting sqref="D4:D16">
    <cfRule type="cellIs" dxfId="2" priority="1" operator="equal">
      <formula>"CUMPLE"</formula>
    </cfRule>
    <cfRule type="cellIs" dxfId="1" priority="2" operator="equal">
      <formula>"NO CUMPLE"</formula>
    </cfRule>
    <cfRule type="cellIs" dxfId="0" priority="3" operator="equal">
      <formula>"SIN REFERENCIA"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cols>
    <col min="1" max="1" width="34" customWidth="1"/>
    <col min="2" max="2" width="90" customWidth="1"/>
    <col min="3" max="3" width="34" customWidth="1"/>
  </cols>
  <sheetData>
    <row r="1" spans="1:3" x14ac:dyDescent="0.3">
      <c r="A1" s="31" t="s">
        <v>179</v>
      </c>
      <c r="B1" s="24"/>
      <c r="C1" s="24"/>
    </row>
    <row r="3" spans="1:3" ht="45" customHeight="1" x14ac:dyDescent="0.3">
      <c r="A3" s="3" t="s">
        <v>126</v>
      </c>
      <c r="B3" s="3" t="s">
        <v>93</v>
      </c>
      <c r="C3" s="3" t="s">
        <v>119</v>
      </c>
    </row>
    <row r="4" spans="1:3" x14ac:dyDescent="0.3">
      <c r="A4" s="5" t="s">
        <v>153</v>
      </c>
      <c r="B4" s="5" t="s">
        <v>127</v>
      </c>
      <c r="C4" s="5" t="s">
        <v>120</v>
      </c>
    </row>
    <row r="5" spans="1:3" ht="28.8" x14ac:dyDescent="0.3">
      <c r="A5" s="5" t="s">
        <v>154</v>
      </c>
      <c r="B5" s="5" t="s">
        <v>128</v>
      </c>
      <c r="C5" s="5" t="s">
        <v>120</v>
      </c>
    </row>
    <row r="6" spans="1:3" ht="28.8" x14ac:dyDescent="0.3">
      <c r="A6" s="5" t="s">
        <v>155</v>
      </c>
      <c r="B6" s="5" t="s">
        <v>180</v>
      </c>
      <c r="C6" s="5" t="s">
        <v>129</v>
      </c>
    </row>
    <row r="7" spans="1:3" x14ac:dyDescent="0.3">
      <c r="A7" s="5" t="s">
        <v>156</v>
      </c>
      <c r="B7" s="5" t="s">
        <v>130</v>
      </c>
      <c r="C7" s="5" t="s">
        <v>131</v>
      </c>
    </row>
    <row r="8" spans="1:3" ht="28.8" x14ac:dyDescent="0.3">
      <c r="A8" s="5" t="s">
        <v>157</v>
      </c>
      <c r="B8" s="5" t="s">
        <v>132</v>
      </c>
      <c r="C8" s="5" t="s">
        <v>143</v>
      </c>
    </row>
    <row r="9" spans="1:3" ht="28.8" x14ac:dyDescent="0.3">
      <c r="A9" s="5" t="s">
        <v>158</v>
      </c>
      <c r="B9" s="5" t="s">
        <v>159</v>
      </c>
      <c r="C9" s="5" t="s">
        <v>177</v>
      </c>
    </row>
    <row r="10" spans="1:3" ht="28.8" x14ac:dyDescent="0.3">
      <c r="A10" s="5" t="s">
        <v>160</v>
      </c>
      <c r="B10" s="5" t="s">
        <v>133</v>
      </c>
      <c r="C10" s="5" t="s">
        <v>181</v>
      </c>
    </row>
    <row r="11" spans="1:3" ht="28.8" x14ac:dyDescent="0.3">
      <c r="A11" s="5" t="s">
        <v>161</v>
      </c>
      <c r="B11" s="5" t="s">
        <v>134</v>
      </c>
      <c r="C11" s="5" t="s">
        <v>152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Calidad_imagen</vt:lpstr>
      <vt:lpstr>CAE_repetibilidad</vt:lpstr>
      <vt:lpstr>CAE_compensacion</vt:lpstr>
      <vt:lpstr>Resumen_QC</vt:lpstr>
      <vt:lpstr>Referencia_Tolerancias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Peña</cp:lastModifiedBy>
  <dcterms:created xsi:type="dcterms:W3CDTF">2026-10-07T16:10:23Z</dcterms:created>
  <dcterms:modified xsi:type="dcterms:W3CDTF">2026-10-29T13:28:13Z</dcterms:modified>
</cp:coreProperties>
</file>